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단계별 조건" sheetId="1" state="visible" r:id="rId3"/>
    <sheet name="데이터 소스" sheetId="2" state="visible" r:id="rId4"/>
    <sheet name="확인 필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Noto Sans CJK SC"/>
            <family val="2"/>
          </rPr>
          <t xml:space="preserve">팀 제안값</t>
        </r>
        <r>
          <rPr>
            <sz val="10"/>
            <rFont val="Arial"/>
            <family val="2"/>
          </rPr>
          <t xml:space="preserve">(2026-10-28 </t>
        </r>
        <r>
          <rPr>
            <sz val="10"/>
            <rFont val="Noto Sans CJK SC"/>
            <family val="2"/>
          </rPr>
          <t xml:space="preserve">대화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데이터 분포 확인 후 조정</t>
        </r>
        <r>
          <rPr>
            <sz val="10"/>
            <rFont val="Arial"/>
            <family val="2"/>
          </rPr>
          <t xml:space="preserve">.</t>
        </r>
      </text>
    </comment>
    <comment ref="C8" authorId="0">
      <text>
        <r>
          <rPr>
            <sz val="10"/>
            <rFont val="Noto Sans CJK SC"/>
            <family val="2"/>
          </rPr>
          <t xml:space="preserve">임시값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대구 상가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상권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정보로 반경 내 분포를 본 뒤 확정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<sst xmlns="http://schemas.openxmlformats.org/spreadsheetml/2006/main" count="270" uniqueCount="174">
  <si>
    <t xml:space="preserve">버틴집 가게 단계 판정 조건</t>
  </si>
  <si>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(C5:C10)</t>
    </r>
    <r>
      <rPr>
        <i val="true"/>
        <sz val="11"/>
        <color rgb="FF595959"/>
        <rFont val="Noto Sans CJK SC"/>
        <family val="2"/>
      </rPr>
      <t xml:space="preserve">은 조정 가능한 기준값입니다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값을 바꾸면 아래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판정 기준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문장이 자동으로 바뀝니다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기준값은 실제 데이터 분포를 본 뒤 확정합니다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</si>
  <si>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기준값 항목</t>
  </si>
  <si>
    <t xml:space="preserve">설명</t>
  </si>
  <si>
    <t xml:space="preserve">값</t>
  </si>
  <si>
    <t xml:space="preserve">단위</t>
  </si>
  <si>
    <t xml:space="preserve">생존배수 배수</t>
  </si>
  <si>
    <r>
      <rPr>
        <sz val="11"/>
        <rFont val="Noto Sans CJK SC"/>
        <family val="2"/>
      </rPr>
      <t xml:space="preserve">같은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업태 중위 생존기간의 몇 배 이상</t>
    </r>
  </si>
  <si>
    <t xml:space="preserve">배</t>
  </si>
  <si>
    <t xml:space="preserve">최소 업력</t>
  </si>
  <si>
    <t xml:space="preserve">업력 하한</t>
  </si>
  <si>
    <t xml:space="preserve">년</t>
  </si>
  <si>
    <t xml:space="preserve">경쟁 반경</t>
  </si>
  <si>
    <t xml:space="preserve">같은 업종 경쟁 점포를 세는 반경</t>
  </si>
  <si>
    <t xml:space="preserve">m</t>
  </si>
  <si>
    <t xml:space="preserve">경쟁 점포 수</t>
  </si>
  <si>
    <r>
      <rPr>
        <sz val="11"/>
        <rFont val="Noto Sans CJK SC"/>
        <family val="2"/>
      </rPr>
      <t xml:space="preserve">반경 안 같은 업종 점포 하한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확정 전 임시값</t>
    </r>
    <r>
      <rPr>
        <sz val="11"/>
        <rFont val="Arial"/>
        <family val="0"/>
        <charset val="1"/>
      </rPr>
      <t xml:space="preserve">)</t>
    </r>
  </si>
  <si>
    <t xml:space="preserve">곳</t>
  </si>
  <si>
    <t xml:space="preserve">행정처분 조회 기간</t>
  </si>
  <si>
    <t xml:space="preserve">최근 몇 년간 식품위생 행정처분 없음</t>
  </si>
  <si>
    <t xml:space="preserve">가산 항목 최소 개수</t>
  </si>
  <si>
    <r>
      <rPr>
        <sz val="11"/>
        <rFont val="Noto Sans CJK SC"/>
        <family val="2"/>
      </rPr>
      <t xml:space="preserve">착한가격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전통시장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모범음식점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위생등급 중</t>
    </r>
  </si>
  <si>
    <t xml:space="preserve">개</t>
  </si>
  <si>
    <t xml:space="preserve">단계</t>
  </si>
  <si>
    <t xml:space="preserve">이름</t>
  </si>
  <si>
    <t xml:space="preserve">조건 항목</t>
  </si>
  <si>
    <t xml:space="preserve">판정 기준</t>
  </si>
  <si>
    <t xml:space="preserve">데이터</t>
  </si>
  <si>
    <t xml:space="preserve">제공기관</t>
  </si>
  <si>
    <t xml:space="preserve">쓰는 필드</t>
  </si>
  <si>
    <t xml:space="preserve">상태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</si>
  <si>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단계</t>
    </r>
  </si>
  <si>
    <t xml:space="preserve">오래 버틴 집</t>
  </si>
  <si>
    <t xml:space="preserve">업력 배수</t>
  </si>
  <si>
    <r>
      <rPr>
        <sz val="11"/>
        <rFont val="Noto Sans CJK SC"/>
        <family val="2"/>
      </rPr>
      <t xml:space="preserve">전국일반음식점표준데이터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인허가</t>
    </r>
    <r>
      <rPr>
        <sz val="11"/>
        <rFont val="Arial"/>
        <family val="0"/>
        <charset val="1"/>
      </rPr>
      <t xml:space="preserve">)</t>
    </r>
  </si>
  <si>
    <t xml:space="preserve">행정안전부</t>
  </si>
  <si>
    <r>
      <rPr>
        <sz val="11"/>
        <rFont val="Noto Sans CJK SC"/>
        <family val="2"/>
      </rPr>
      <t xml:space="preserve">인허가일자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폐업일자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영업상태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업태구분</t>
    </r>
  </si>
  <si>
    <t xml:space="preserve">설계 완료</t>
  </si>
  <si>
    <t xml:space="preserve">인허가일자</t>
  </si>
  <si>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프랜차이즈</t>
    </r>
  </si>
  <si>
    <t xml:space="preserve">가맹 브랜드명과 상호가 일치하면 제외</t>
  </si>
  <si>
    <r>
      <rPr>
        <sz val="11"/>
        <rFont val="Noto Sans CJK SC"/>
        <family val="2"/>
      </rPr>
      <t xml:space="preserve">가맹정보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정보공개서</t>
    </r>
    <r>
      <rPr>
        <sz val="11"/>
        <rFont val="Arial"/>
        <family val="0"/>
        <charset val="1"/>
      </rPr>
      <t xml:space="preserve">)</t>
    </r>
  </si>
  <si>
    <t xml:space="preserve">공정거래위원회</t>
  </si>
  <si>
    <t xml:space="preserve">브랜드명</t>
  </si>
  <si>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초대형 면적</t>
    </r>
  </si>
  <si>
    <r>
      <rPr>
        <sz val="11"/>
        <rFont val="Noto Sans CJK SC"/>
        <family val="2"/>
      </rPr>
      <t xml:space="preserve">같은 업태 면적 상위 구간 제외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구간은 분포 확인 후</t>
    </r>
    <r>
      <rPr>
        <sz val="11"/>
        <rFont val="Arial"/>
        <family val="0"/>
        <charset val="1"/>
      </rPr>
      <t xml:space="preserve">)</t>
    </r>
  </si>
  <si>
    <t xml:space="preserve">소재지면적</t>
  </si>
  <si>
    <t xml:space="preserve">확인 필요</t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</si>
  <si>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단계</t>
    </r>
  </si>
  <si>
    <t xml:space="preserve">동네가 고른 집</t>
  </si>
  <si>
    <t xml:space="preserve">주거지 입지</t>
  </si>
  <si>
    <t xml:space="preserve">용도지역지구 정보</t>
  </si>
  <si>
    <r>
      <rPr>
        <sz val="11"/>
        <rFont val="Noto Sans CJK SC"/>
        <family val="2"/>
      </rPr>
      <t xml:space="preserve">국토교통부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국가공간정보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</si>
  <si>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용도지역 구분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좌표</t>
    </r>
  </si>
  <si>
    <t xml:space="preserve">경쟁 강도</t>
  </si>
  <si>
    <r>
      <rPr>
        <sz val="11"/>
        <rFont val="Noto Sans CJK SC"/>
        <family val="2"/>
      </rPr>
      <t xml:space="preserve">상가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정보</t>
    </r>
  </si>
  <si>
    <t xml:space="preserve">소상공인시장진흥공단</t>
  </si>
  <si>
    <r>
      <rPr>
        <sz val="11"/>
        <rFont val="Noto Sans CJK SC"/>
        <family val="2"/>
      </rPr>
      <t xml:space="preserve">업종 소분류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위도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경도</t>
    </r>
  </si>
  <si>
    <r>
      <rPr>
        <sz val="11"/>
        <rFont val="Noto Sans CJK SC"/>
        <family val="2"/>
      </rPr>
      <t xml:space="preserve">주민 밀도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보조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</si>
  <si>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행정동 인구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천 명당 음식점 수</t>
    </r>
  </si>
  <si>
    <t xml:space="preserve">주민등록 인구통계</t>
  </si>
  <si>
    <t xml:space="preserve">행정동별 인구</t>
  </si>
  <si>
    <r>
      <rPr>
        <sz val="11"/>
        <rFont val="Noto Sans CJK SC"/>
        <family val="2"/>
      </rPr>
      <t xml:space="preserve">외지인 비중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보조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</si>
  <si>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구 단위 외지인 방문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소비 비중 하위</t>
    </r>
  </si>
  <si>
    <r>
      <rPr>
        <sz val="11"/>
        <rFont val="Noto Sans CJK SC"/>
        <family val="2"/>
      </rPr>
      <t xml:space="preserve">빅데이터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지역별 방문자수</t>
    </r>
  </si>
  <si>
    <t xml:space="preserve">한국관광공사</t>
  </si>
  <si>
    <t xml:space="preserve">지역별 방문자 수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</si>
  <si>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단계</t>
    </r>
  </si>
  <si>
    <t xml:space="preserve">동네가 먹여 살린 집</t>
  </si>
  <si>
    <t xml:space="preserve">감점 필터</t>
  </si>
  <si>
    <r>
      <rPr>
        <sz val="11"/>
        <rFont val="Noto Sans CJK SC"/>
        <family val="2"/>
      </rPr>
      <t xml:space="preserve">행정처분결과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식품접객업</t>
    </r>
    <r>
      <rPr>
        <sz val="11"/>
        <rFont val="Arial"/>
        <family val="0"/>
        <charset val="1"/>
      </rPr>
      <t xml:space="preserve">)</t>
    </r>
  </si>
  <si>
    <t xml:space="preserve">식품의약품안전처</t>
  </si>
  <si>
    <r>
      <rPr>
        <sz val="11"/>
        <rFont val="Noto Sans CJK SC"/>
        <family val="2"/>
      </rPr>
      <t xml:space="preserve">인허가번호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처분확정일자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위반내용</t>
    </r>
  </si>
  <si>
    <t xml:space="preserve">가산 항목</t>
  </si>
  <si>
    <r>
      <rPr>
        <sz val="11"/>
        <rFont val="Noto Sans CJK SC"/>
        <family val="2"/>
      </rPr>
      <t xml:space="preserve">착한가격업소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온누리 가맹점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모범음식점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위생등급</t>
    </r>
  </si>
  <si>
    <r>
      <rPr>
        <sz val="11"/>
        <rFont val="Noto Sans CJK SC"/>
        <family val="2"/>
      </rPr>
      <t xml:space="preserve">대구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소상공인시장진흥공단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대구 남구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</t>
    </r>
  </si>
  <si>
    <r>
      <rPr>
        <sz val="11"/>
        <rFont val="Noto Sans CJK SC"/>
        <family val="2"/>
      </rPr>
      <t xml:space="preserve">업소명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주소</t>
    </r>
  </si>
  <si>
    <t xml:space="preserve">검증</t>
  </si>
  <si>
    <t xml:space="preserve">정답지</t>
  </si>
  <si>
    <t xml:space="preserve">백년가게 적중률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</si>
  <si>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단계 결과에 대구 백년가게가 몇 </t>
    </r>
    <r>
      <rPr>
        <sz val="11"/>
        <rFont val="Arial"/>
        <family val="0"/>
        <charset val="1"/>
      </rPr>
      <t xml:space="preserve">% </t>
    </r>
    <r>
      <rPr>
        <sz val="11"/>
        <rFont val="Noto Sans CJK SC"/>
        <family val="2"/>
      </rPr>
      <t xml:space="preserve">포함되는지</t>
    </r>
  </si>
  <si>
    <t xml:space="preserve">전국 백년가게 지정리스트</t>
  </si>
  <si>
    <r>
      <rPr>
        <sz val="11"/>
        <rFont val="Noto Sans CJK SC"/>
        <family val="2"/>
      </rPr>
      <t xml:space="preserve">업체명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업체주소</t>
    </r>
  </si>
  <si>
    <t xml:space="preserve">데이터셋명</t>
  </si>
  <si>
    <t xml:space="preserve">형식</t>
  </si>
  <si>
    <t xml:space="preserve">URL</t>
  </si>
  <si>
    <t xml:space="preserve">사용 단계</t>
  </si>
  <si>
    <t xml:space="preserve">출처 등급</t>
  </si>
  <si>
    <t xml:space="preserve">비고</t>
  </si>
  <si>
    <t xml:space="preserve">전국일반음식점표준데이터</t>
  </si>
  <si>
    <r>
      <rPr>
        <sz val="11"/>
        <rFont val="Noto Sans CJK SC"/>
        <family val="2"/>
      </rPr>
      <t xml:space="preserve">행정안전부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소관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식품의약품안전처</t>
    </r>
    <r>
      <rPr>
        <sz val="11"/>
        <rFont val="Arial"/>
        <family val="0"/>
        <charset val="1"/>
      </rPr>
      <t xml:space="preserve">)</t>
    </r>
  </si>
  <si>
    <t xml:space="preserve">CSV / API</t>
  </si>
  <si>
    <t xml:space="preserve">https://www.data.go.kr/data/15096283/openapi.do</t>
  </si>
  <si>
    <r>
      <rPr>
        <sz val="11"/>
        <rFont val="Noto Sans CJK SC"/>
        <family val="2"/>
      </rPr>
      <t xml:space="preserve">인허가일자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폐업일자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영업상태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업태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소재지면적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좌표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</si>
  <si>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단계</t>
    </r>
  </si>
  <si>
    <t xml:space="preserve">A</t>
  </si>
  <si>
    <r>
      <rPr>
        <sz val="11"/>
        <rFont val="Noto Sans CJK SC"/>
        <family val="2"/>
      </rPr>
      <t xml:space="preserve">좌표계 </t>
    </r>
    <r>
      <rPr>
        <sz val="11"/>
        <rFont val="Arial"/>
        <family val="0"/>
        <charset val="1"/>
      </rPr>
      <t xml:space="preserve">EPSG:5174 → </t>
    </r>
    <r>
      <rPr>
        <sz val="11"/>
        <rFont val="Noto Sans CJK SC"/>
        <family val="2"/>
      </rPr>
      <t xml:space="preserve">위경도 변환 필요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폐업일자 포함 여부 확인</t>
    </r>
  </si>
  <si>
    <t xml:space="preserve">기업생멸행정통계</t>
  </si>
  <si>
    <r>
      <rPr>
        <sz val="11"/>
        <rFont val="Noto Sans CJK SC"/>
        <family val="2"/>
      </rPr>
      <t xml:space="preserve">국가데이터처</t>
    </r>
    <r>
      <rPr>
        <sz val="11"/>
        <rFont val="Arial"/>
        <family val="0"/>
        <charset val="1"/>
      </rPr>
      <t xml:space="preserve">(KOSIS)</t>
    </r>
  </si>
  <si>
    <r>
      <rPr>
        <sz val="11"/>
        <rFont val="Arial"/>
        <family val="0"/>
        <charset val="1"/>
      </rPr>
      <t xml:space="preserve">KOSIS 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/ API</t>
    </r>
  </si>
  <si>
    <t xml:space="preserve">https://eiec.kdi.re.kr/policy/materialView.do?num=288411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</si>
  <si>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·5</t>
    </r>
    <r>
      <rPr>
        <sz val="11"/>
        <rFont val="Noto Sans CJK SC"/>
        <family val="2"/>
      </rPr>
      <t xml:space="preserve">년 생존율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</si>
  <si>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단계 기준선 교차검증</t>
    </r>
  </si>
  <si>
    <t xml:space="preserve">B</t>
  </si>
  <si>
    <r>
      <rPr>
        <sz val="11"/>
        <rFont val="Noto Sans CJK SC"/>
        <family val="2"/>
      </rPr>
      <t xml:space="preserve">대구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숙박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음식점업 표 </t>
    </r>
    <r>
      <rPr>
        <sz val="11"/>
        <rFont val="Arial"/>
        <family val="0"/>
        <charset val="1"/>
      </rPr>
      <t xml:space="preserve">ID </t>
    </r>
    <r>
      <rPr>
        <sz val="11"/>
        <rFont val="Noto Sans CJK SC"/>
        <family val="2"/>
      </rPr>
      <t xml:space="preserve">확인 필요</t>
    </r>
  </si>
  <si>
    <t xml:space="preserve">가맹정보 정보공개서 조회</t>
  </si>
  <si>
    <t xml:space="preserve">API(XML)</t>
  </si>
  <si>
    <t xml:space="preserve">https://data.go.kr/data/15125570/openapi.do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</si>
  <si>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단계 제외</t>
    </r>
  </si>
  <si>
    <t xml:space="preserve">응답 필드는 활용신청 후 확인</t>
  </si>
  <si>
    <t xml:space="preserve">미확인</t>
  </si>
  <si>
    <r>
      <rPr>
        <sz val="11"/>
        <rFont val="Noto Sans CJK SC"/>
        <family val="2"/>
      </rPr>
      <t xml:space="preserve">용도지역 구분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경계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</si>
  <si>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단계</t>
    </r>
  </si>
  <si>
    <t xml:space="preserve">C</t>
  </si>
  <si>
    <r>
      <rPr>
        <sz val="11"/>
        <rFont val="Noto Sans CJK SC"/>
        <family val="2"/>
      </rPr>
      <t xml:space="preserve">정확한 데이터셋 </t>
    </r>
    <r>
      <rPr>
        <sz val="11"/>
        <rFont val="Arial"/>
        <family val="0"/>
        <charset val="1"/>
      </rPr>
      <t xml:space="preserve">URL </t>
    </r>
    <r>
      <rPr>
        <sz val="11"/>
        <rFont val="Noto Sans CJK SC"/>
        <family val="2"/>
      </rPr>
      <t xml:space="preserve">확인 필요</t>
    </r>
  </si>
  <si>
    <r>
      <rPr>
        <sz val="11"/>
        <rFont val="Noto Sans CJK SC"/>
        <family val="2"/>
      </rPr>
      <t xml:space="preserve">상가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정보 </t>
    </r>
    <r>
      <rPr>
        <sz val="11"/>
        <rFont val="Arial"/>
        <family val="0"/>
        <charset val="1"/>
      </rPr>
      <t xml:space="preserve">API</t>
    </r>
  </si>
  <si>
    <t xml:space="preserve">API(JSON·XML)</t>
  </si>
  <si>
    <t xml:space="preserve">https://www.data.go.kr/data/15012005/openapi.do</t>
  </si>
  <si>
    <r>
      <rPr>
        <sz val="11"/>
        <rFont val="Noto Sans CJK SC"/>
        <family val="2"/>
      </rPr>
      <t xml:space="preserve">상호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업종 소분류</t>
    </r>
    <r>
      <rPr>
        <sz val="11"/>
        <rFont val="Arial"/>
        <family val="0"/>
        <charset val="1"/>
      </rPr>
      <t xml:space="preserve">(247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위도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경도</t>
    </r>
  </si>
  <si>
    <r>
      <rPr>
        <sz val="11"/>
        <rFont val="Noto Sans CJK SC"/>
        <family val="2"/>
      </rPr>
      <t xml:space="preserve">개발계정 일 </t>
    </r>
    <r>
      <rPr>
        <sz val="11"/>
        <rFont val="Arial"/>
        <family val="0"/>
        <charset val="1"/>
      </rPr>
      <t xml:space="preserve">10,000</t>
    </r>
    <r>
      <rPr>
        <sz val="11"/>
        <rFont val="Noto Sans CJK SC"/>
        <family val="2"/>
      </rPr>
      <t xml:space="preserve">건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</si>
  <si>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보조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</si>
  <si>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데이터셋 </t>
    </r>
    <r>
      <rPr>
        <sz val="11"/>
        <rFont val="Arial"/>
        <family val="0"/>
        <charset val="1"/>
      </rPr>
      <t xml:space="preserve">URL </t>
    </r>
    <r>
      <rPr>
        <sz val="11"/>
        <rFont val="Noto Sans CJK SC"/>
        <family val="2"/>
      </rPr>
      <t xml:space="preserve">확인 필요</t>
    </r>
  </si>
  <si>
    <t xml:space="preserve">https://www.data.go.kr/data/15101972/openapi.do</t>
  </si>
  <si>
    <r>
      <rPr>
        <sz val="11"/>
        <rFont val="Noto Sans CJK SC"/>
        <family val="2"/>
      </rPr>
      <t xml:space="preserve">광역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기초지자체 단위</t>
    </r>
  </si>
  <si>
    <t xml:space="preserve">https://www.data.go.kr/data/15058429/openapi.do</t>
  </si>
  <si>
    <r>
      <rPr>
        <sz val="11"/>
        <rFont val="Noto Sans CJK SC"/>
        <family val="2"/>
      </rPr>
      <t xml:space="preserve">업소명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인허가번호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처분확정일자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처분유형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위반내용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</si>
  <si>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단계 감점</t>
    </r>
  </si>
  <si>
    <t xml:space="preserve">인허가번호로 인허가 데이터와 결합</t>
  </si>
  <si>
    <r>
      <rPr>
        <sz val="11"/>
        <rFont val="Noto Sans CJK SC"/>
        <family val="2"/>
      </rPr>
      <t xml:space="preserve">대구광역시 북구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착한가격업소</t>
    </r>
  </si>
  <si>
    <t xml:space="preserve">대구광역시 북구</t>
  </si>
  <si>
    <t xml:space="preserve">CSV</t>
  </si>
  <si>
    <t xml:space="preserve">https://www.data.go.kr/data/15030563/fileData.do</t>
  </si>
  <si>
    <r>
      <rPr>
        <sz val="11"/>
        <rFont val="Noto Sans CJK SC"/>
        <family val="2"/>
      </rPr>
      <t xml:space="preserve">업소명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대표 메뉴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가격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</si>
  <si>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단계 가산</t>
    </r>
  </si>
  <si>
    <r>
      <rPr>
        <sz val="11"/>
        <rFont val="Noto Sans CJK SC"/>
        <family val="2"/>
      </rPr>
      <t xml:space="preserve">나머지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개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 확인 필요</t>
    </r>
  </si>
  <si>
    <t xml:space="preserve">전국 온누리상품권 가맹점 현황</t>
  </si>
  <si>
    <t xml:space="preserve">https://www.data.go.kr/data/3060079/fileData.do</t>
  </si>
  <si>
    <r>
      <rPr>
        <sz val="11"/>
        <rFont val="Noto Sans CJK SC"/>
        <family val="2"/>
      </rPr>
      <t xml:space="preserve">가맹점명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소속 시장명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소재지</t>
    </r>
  </si>
  <si>
    <r>
      <rPr>
        <sz val="11"/>
        <rFont val="Noto Sans CJK SC"/>
        <family val="2"/>
      </rPr>
      <t xml:space="preserve">기준 </t>
    </r>
    <r>
      <rPr>
        <sz val="11"/>
        <rFont val="Arial"/>
        <family val="0"/>
        <charset val="1"/>
      </rPr>
      <t xml:space="preserve">2025-07-31</t>
    </r>
  </si>
  <si>
    <r>
      <rPr>
        <sz val="11"/>
        <rFont val="Noto Sans CJK SC"/>
        <family val="2"/>
      </rPr>
      <t xml:space="preserve">대구광역시 남구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모범음식점 현황</t>
    </r>
  </si>
  <si>
    <t xml:space="preserve">대구광역시 남구</t>
  </si>
  <si>
    <t xml:space="preserve">https://www.data.go.kr/dcat/metadata/3069692</t>
  </si>
  <si>
    <t xml:space="preserve">남구 한정</t>
  </si>
  <si>
    <t xml:space="preserve">음식점 위생등급 지정 현황</t>
  </si>
  <si>
    <r>
      <rPr>
        <sz val="11"/>
        <rFont val="Noto Sans CJK SC"/>
        <family val="2"/>
      </rPr>
      <t xml:space="preserve">각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광주 남구</t>
    </r>
    <r>
      <rPr>
        <sz val="11"/>
        <rFont val="Arial"/>
        <family val="0"/>
        <charset val="1"/>
      </rPr>
      <t xml:space="preserve">)</t>
    </r>
  </si>
  <si>
    <t xml:space="preserve">https://www.data.go.kr/biz/dcat/metadata/15157949.do</t>
  </si>
  <si>
    <r>
      <rPr>
        <sz val="11"/>
        <rFont val="Noto Sans CJK SC"/>
        <family val="2"/>
      </rPr>
      <t xml:space="preserve">상호명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업태</t>
    </r>
  </si>
  <si>
    <r>
      <rPr>
        <sz val="11"/>
        <rFont val="Noto Sans CJK SC"/>
        <family val="2"/>
      </rPr>
      <t xml:space="preserve">대구 자료 확인 필요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링크는 타 지역 형식 예시</t>
    </r>
  </si>
  <si>
    <t xml:space="preserve">https://www.data.go.kr/data/15132695/fileData.do</t>
  </si>
  <si>
    <r>
      <rPr>
        <sz val="11"/>
        <rFont val="Noto Sans CJK SC"/>
        <family val="2"/>
      </rPr>
      <t xml:space="preserve">검증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정답지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</si>
  <si>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전국 </t>
    </r>
    <r>
      <rPr>
        <sz val="11"/>
        <rFont val="Arial"/>
        <family val="0"/>
        <charset val="1"/>
      </rPr>
      <t xml:space="preserve">1,511</t>
    </r>
    <r>
      <rPr>
        <sz val="11"/>
        <rFont val="Noto Sans CJK SC"/>
        <family val="2"/>
      </rPr>
      <t xml:space="preserve">곳</t>
    </r>
  </si>
  <si>
    <r>
      <rPr>
        <i val="true"/>
        <sz val="11"/>
        <color rgb="FF595959"/>
        <rFont val="Noto Sans CJK SC"/>
        <family val="2"/>
      </rPr>
      <t xml:space="preserve">출처 등급</t>
    </r>
    <r>
      <rPr>
        <i val="true"/>
        <sz val="11"/>
        <color rgb="FF595959"/>
        <rFont val="Arial"/>
        <family val="0"/>
        <charset val="1"/>
      </rPr>
      <t xml:space="preserve">: A = </t>
    </r>
    <r>
      <rPr>
        <i val="true"/>
        <sz val="11"/>
        <color rgb="FF595959"/>
        <rFont val="Noto Sans CJK SC"/>
        <family val="2"/>
      </rPr>
      <t xml:space="preserve">공공기관 원문 페이지 확인 </t>
    </r>
    <r>
      <rPr>
        <i val="true"/>
        <sz val="11"/>
        <color rgb="FF595959"/>
        <rFont val="Arial"/>
        <family val="0"/>
        <charset val="1"/>
      </rPr>
      <t xml:space="preserve">/ B = </t>
    </r>
    <r>
      <rPr>
        <i val="true"/>
        <sz val="11"/>
        <color rgb="FF595959"/>
        <rFont val="Noto Sans CJK SC"/>
        <family val="2"/>
      </rPr>
      <t xml:space="preserve">보도</t>
    </r>
    <r>
      <rPr>
        <i val="true"/>
        <sz val="11"/>
        <color rgb="FF595959"/>
        <rFont val="Arial"/>
        <family val="0"/>
        <charset val="1"/>
      </rPr>
      <t xml:space="preserve">·2</t>
    </r>
    <r>
      <rPr>
        <i val="true"/>
        <sz val="11"/>
        <color rgb="FF595959"/>
        <rFont val="Noto Sans CJK SC"/>
        <family val="2"/>
      </rPr>
      <t xml:space="preserve">차 자료로 확인 </t>
    </r>
    <r>
      <rPr>
        <i val="true"/>
        <sz val="11"/>
        <color rgb="FF595959"/>
        <rFont val="Arial"/>
        <family val="0"/>
        <charset val="1"/>
      </rPr>
      <t xml:space="preserve">/ C = </t>
    </r>
    <r>
      <rPr>
        <i val="true"/>
        <sz val="11"/>
        <color rgb="FF595959"/>
        <rFont val="Noto Sans CJK SC"/>
        <family val="2"/>
      </rPr>
      <t xml:space="preserve">미확인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확인 필요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</si>
  <si>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담당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상태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메모 칸을 채우세요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상태는 목록에서 고릅니다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</si>
  <si>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번호</t>
  </si>
  <si>
    <t xml:space="preserve">확인할 항목</t>
  </si>
  <si>
    <t xml:space="preserve">관련 단계</t>
  </si>
  <si>
    <t xml:space="preserve">담당</t>
  </si>
  <si>
    <t xml:space="preserve">메모</t>
  </si>
  <si>
    <r>
      <rPr>
        <sz val="11"/>
        <rFont val="Noto Sans CJK SC"/>
        <family val="2"/>
      </rPr>
      <t xml:space="preserve">인허가 데이터에 폐업 업소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폐업일자가 포함되는지</t>
    </r>
  </si>
  <si>
    <t xml:space="preserve">확인 전</t>
  </si>
  <si>
    <r>
      <rPr>
        <sz val="11"/>
        <rFont val="Noto Sans CJK SC"/>
        <family val="2"/>
      </rPr>
      <t xml:space="preserve">대구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개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 추출 가능 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시군구 코드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</si>
  <si>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가맹정보 </t>
    </r>
    <r>
      <rPr>
        <sz val="11"/>
        <rFont val="Arial"/>
        <family val="0"/>
        <charset val="1"/>
      </rPr>
      <t xml:space="preserve">API </t>
    </r>
    <r>
      <rPr>
        <sz val="11"/>
        <rFont val="Noto Sans CJK SC"/>
        <family val="2"/>
      </rPr>
      <t xml:space="preserve">응답에 브랜드명 필드가 있는지</t>
    </r>
  </si>
  <si>
    <t xml:space="preserve">소재지면적 분포 확인 후 초대형 구간 확정</t>
  </si>
  <si>
    <r>
      <rPr>
        <sz val="11"/>
        <rFont val="Noto Sans CJK SC"/>
        <family val="2"/>
      </rPr>
      <t xml:space="preserve">용도지역지구 데이터셋 </t>
    </r>
    <r>
      <rPr>
        <sz val="11"/>
        <rFont val="Arial"/>
        <family val="0"/>
        <charset val="1"/>
      </rPr>
      <t xml:space="preserve">URL</t>
    </r>
    <r>
      <rPr>
        <sz val="11"/>
        <rFont val="Noto Sans CJK SC"/>
        <family val="2"/>
      </rPr>
      <t xml:space="preserve">과 형식</t>
    </r>
  </si>
  <si>
    <r>
      <rPr>
        <sz val="11"/>
        <rFont val="Noto Sans CJK SC"/>
        <family val="2"/>
      </rPr>
      <t xml:space="preserve">반경 내 경쟁 점포 수 분포 확인 후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확정</t>
    </r>
  </si>
  <si>
    <r>
      <rPr>
        <sz val="11"/>
        <rFont val="Noto Sans CJK SC"/>
        <family val="2"/>
      </rPr>
      <t xml:space="preserve">주민등록 인구 행정동 데이터 </t>
    </r>
    <r>
      <rPr>
        <sz val="11"/>
        <rFont val="Arial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</si>
  <si>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방문자수 </t>
    </r>
    <r>
      <rPr>
        <sz val="11"/>
        <rFont val="Arial"/>
        <family val="0"/>
        <charset val="1"/>
      </rPr>
      <t xml:space="preserve">API</t>
    </r>
    <r>
      <rPr>
        <sz val="11"/>
        <rFont val="Noto Sans CJK SC"/>
        <family val="2"/>
      </rPr>
      <t xml:space="preserve">가 대구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 단위까지 나오는지</t>
    </r>
  </si>
  <si>
    <r>
      <rPr>
        <sz val="11"/>
        <rFont val="Noto Sans CJK SC"/>
        <family val="2"/>
      </rPr>
      <t xml:space="preserve">행정처분 데이터와 인허가 데이터 결합 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인허가번호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일치 여부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</si>
  <si>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단계</t>
    </r>
  </si>
  <si>
    <r>
      <rPr>
        <sz val="11"/>
        <rFont val="Noto Sans CJK SC"/>
        <family val="2"/>
      </rPr>
      <t xml:space="preserve">대구 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군별 착한가격업소 파일 존재 여부</t>
    </r>
  </si>
  <si>
    <t xml:space="preserve">대구 위생등급 지정 현황 파일 존재 여부</t>
  </si>
  <si>
    <t xml:space="preserve">대구 백년가게 수 집계</t>
  </si>
  <si>
    <t xml:space="preserve">완료 건수</t>
  </si>
  <si>
    <t xml:space="preserve">진행률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</si>
</sst>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2118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BF7F0"/>
        <bgColor rgb="FFFFFFFF"/>
      </patternFill>
    </fill>
    <fill>
      <patternFill patternType="solid">
        <fgColor rgb="FFF3E7D8"/>
        <bgColor rgb="FFE8EEF4"/>
      </patternFill>
    </fill>
    <fill>
      <patternFill patternType="solid">
        <fgColor rgb="FFEBCDB8"/>
        <bgColor rgb="FFF3E7D8"/>
      </patternFill>
    </fill>
    <fill>
      <patternFill patternType="solid">
        <fgColor rgb="FFE8EEF4"/>
        <bgColor rgb="FFF3E7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7F0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7D8"/>
      <rgbColor rgb="FFFFFF99"/>
      <rgbColor rgb="FF99CCFF"/>
      <rgbColor rgb="FFFF99CC"/>
      <rgbColor rgb="FFCC99FF"/>
      <rgbColor rgb="FFEBCDB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B21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2.8" hidden="false" customHeight="false" outlineLevel="0" collapsed="false">
      <c r="A5" s="4" t="s">
        <v>6</v>
      </c>
      <c r="B5" s="5" t="s">
        <v>7</v>
      </c>
      <c r="C5" s="6" t="n">
        <v>2</v>
      </c>
      <c r="D5" s="5" t="s">
        <v>8</v>
      </c>
    </row>
    <row r="6" customFormat="false" ht="17.15" hidden="false" customHeight="false" outlineLevel="0" collapsed="false">
      <c r="A6" s="4" t="s">
        <v>9</v>
      </c>
      <c r="B6" s="5" t="s">
        <v>10</v>
      </c>
      <c r="C6" s="6" t="n">
        <v>5</v>
      </c>
      <c r="D6" s="5" t="s">
        <v>11</v>
      </c>
    </row>
    <row r="7" customFormat="false" ht="32.8" hidden="false" customHeight="false" outlineLevel="0" collapsed="false">
      <c r="A7" s="4" t="s">
        <v>12</v>
      </c>
      <c r="B7" s="5" t="s">
        <v>13</v>
      </c>
      <c r="C7" s="6" t="n">
        <v>300</v>
      </c>
      <c r="D7" s="7" t="s">
        <v>14</v>
      </c>
    </row>
    <row r="8" customFormat="false" ht="32.8" hidden="false" customHeight="false" outlineLevel="0" collapsed="false">
      <c r="A8" s="4" t="s">
        <v>15</v>
      </c>
      <c r="B8" s="5" t="s">
        <v>16</v>
      </c>
      <c r="C8" s="6" t="n">
        <v>3</v>
      </c>
      <c r="D8" s="5" t="s">
        <v>17</v>
      </c>
    </row>
    <row r="9" customFormat="false" ht="32.8" hidden="false" customHeight="false" outlineLevel="0" collapsed="false">
      <c r="A9" s="4" t="s">
        <v>18</v>
      </c>
      <c r="B9" s="5" t="s">
        <v>19</v>
      </c>
      <c r="C9" s="6" t="n">
        <v>3</v>
      </c>
      <c r="D9" s="5" t="s">
        <v>11</v>
      </c>
    </row>
    <row r="10" customFormat="false" ht="32.8" hidden="false" customHeight="false" outlineLevel="0" collapsed="false">
      <c r="A10" s="4" t="s">
        <v>20</v>
      </c>
      <c r="B10" s="5" t="s">
        <v>21</v>
      </c>
      <c r="C10" s="6" t="n">
        <v>1</v>
      </c>
      <c r="D10" s="5" t="s">
        <v>22</v>
      </c>
    </row>
    <row r="12" customFormat="false" ht="17.15" hidden="false" customHeight="false" outlineLevel="0" collapsed="false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</row>
    <row r="13" customFormat="false" ht="32.8" hidden="false" customHeight="false" outlineLevel="0" collapsed="false">
      <c r="A13" s="8" t="s">
        <v>31</v>
      </c>
      <c r="B13" s="9" t="s">
        <v>32</v>
      </c>
      <c r="C13" s="10" t="s">
        <v>33</v>
      </c>
      <c r="D13" s="10" t="str">
        <f aca="false">"업력 ≥ 같은 구·업태 중위 생존기간 × "&amp;$C$5&amp;"배"</f>
        <v>업력 ≥ 같은 구·업태 중위 생존기간 × 2배</v>
      </c>
      <c r="E13" s="10" t="s">
        <v>34</v>
      </c>
      <c r="F13" s="10" t="s">
        <v>35</v>
      </c>
      <c r="G13" s="10" t="s">
        <v>36</v>
      </c>
      <c r="H13" s="10" t="s">
        <v>37</v>
      </c>
    </row>
    <row r="14" customFormat="false" ht="17.15" hidden="false" customHeight="false" outlineLevel="0" collapsed="false">
      <c r="A14" s="8" t="s">
        <v>31</v>
      </c>
      <c r="B14" s="9" t="s">
        <v>32</v>
      </c>
      <c r="C14" s="10" t="s">
        <v>9</v>
      </c>
      <c r="D14" s="10" t="str">
        <f aca="false">"업력 ≥ "&amp;$C$6&amp;"년"</f>
        <v>업력 ≥ 5년</v>
      </c>
      <c r="E14" s="10" t="s">
        <v>34</v>
      </c>
      <c r="F14" s="10" t="s">
        <v>35</v>
      </c>
      <c r="G14" s="10" t="s">
        <v>38</v>
      </c>
      <c r="H14" s="10" t="s">
        <v>37</v>
      </c>
    </row>
    <row r="15" customFormat="false" ht="17.15" hidden="false" customHeight="false" outlineLevel="0" collapsed="false">
      <c r="A15" s="8" t="s">
        <v>31</v>
      </c>
      <c r="B15" s="9" t="s">
        <v>32</v>
      </c>
      <c r="C15" s="10" t="s">
        <v>39</v>
      </c>
      <c r="D15" s="10" t="s">
        <v>40</v>
      </c>
      <c r="E15" s="10" t="s">
        <v>41</v>
      </c>
      <c r="F15" s="10" t="s">
        <v>42</v>
      </c>
      <c r="G15" s="10" t="s">
        <v>43</v>
      </c>
      <c r="H15" s="10" t="s">
        <v>37</v>
      </c>
    </row>
    <row r="16" customFormat="false" ht="17.15" hidden="false" customHeight="false" outlineLevel="0" collapsed="false">
      <c r="A16" s="8" t="s">
        <v>31</v>
      </c>
      <c r="B16" s="9" t="s">
        <v>32</v>
      </c>
      <c r="C16" s="10" t="s">
        <v>44</v>
      </c>
      <c r="D16" s="10" t="s">
        <v>45</v>
      </c>
      <c r="E16" s="10" t="s">
        <v>34</v>
      </c>
      <c r="F16" s="10" t="s">
        <v>35</v>
      </c>
      <c r="G16" s="10" t="s">
        <v>46</v>
      </c>
      <c r="H16" s="10" t="s">
        <v>47</v>
      </c>
    </row>
    <row r="17" customFormat="false" ht="17.15" hidden="false" customHeight="false" outlineLevel="0" collapsed="false">
      <c r="A17" s="11" t="s">
        <v>48</v>
      </c>
      <c r="B17" s="12" t="s">
        <v>49</v>
      </c>
      <c r="C17" s="13" t="s">
        <v>50</v>
      </c>
      <c r="D17" s="13" t="str">
        <f aca="false">"1단계 + 점포 좌표가 주거지역 안 (또는 외지인 비중 낮은 동)"</f>
        <v>1단계 + 점포 좌표가 주거지역 안 (또는 외지인 비중 낮은 동)</v>
      </c>
      <c r="E17" s="13" t="s">
        <v>51</v>
      </c>
      <c r="F17" s="13" t="s">
        <v>52</v>
      </c>
      <c r="G17" s="13" t="s">
        <v>53</v>
      </c>
      <c r="H17" s="13" t="s">
        <v>47</v>
      </c>
    </row>
    <row r="18" customFormat="false" ht="17.15" hidden="false" customHeight="false" outlineLevel="0" collapsed="false">
      <c r="A18" s="11" t="s">
        <v>48</v>
      </c>
      <c r="B18" s="12" t="s">
        <v>49</v>
      </c>
      <c r="C18" s="13" t="s">
        <v>54</v>
      </c>
      <c r="D18" s="13" t="str">
        <f aca="false">"반경 "&amp;$C$7&amp;"m 안 같은 업종 점포 ≥ "&amp;$C$8&amp;"곳"</f>
        <v>반경 300m 안 같은 업종 점포 ≥ 3곳</v>
      </c>
      <c r="E18" s="13" t="s">
        <v>55</v>
      </c>
      <c r="F18" s="13" t="s">
        <v>56</v>
      </c>
      <c r="G18" s="13" t="s">
        <v>57</v>
      </c>
      <c r="H18" s="13" t="s">
        <v>37</v>
      </c>
    </row>
    <row r="19" customFormat="false" ht="17.15" hidden="false" customHeight="false" outlineLevel="0" collapsed="false">
      <c r="A19" s="11" t="s">
        <v>48</v>
      </c>
      <c r="B19" s="12" t="s">
        <v>49</v>
      </c>
      <c r="C19" s="13" t="s">
        <v>58</v>
      </c>
      <c r="D19" s="13" t="s">
        <v>59</v>
      </c>
      <c r="E19" s="13" t="s">
        <v>60</v>
      </c>
      <c r="F19" s="13" t="s">
        <v>35</v>
      </c>
      <c r="G19" s="13" t="s">
        <v>61</v>
      </c>
      <c r="H19" s="13" t="s">
        <v>47</v>
      </c>
    </row>
    <row r="20" customFormat="false" ht="17.15" hidden="false" customHeight="false" outlineLevel="0" collapsed="false">
      <c r="A20" s="11" t="s">
        <v>48</v>
      </c>
      <c r="B20" s="12" t="s">
        <v>49</v>
      </c>
      <c r="C20" s="13" t="s">
        <v>62</v>
      </c>
      <c r="D20" s="13" t="s">
        <v>63</v>
      </c>
      <c r="E20" s="13" t="s">
        <v>64</v>
      </c>
      <c r="F20" s="13" t="s">
        <v>65</v>
      </c>
      <c r="G20" s="13" t="s">
        <v>66</v>
      </c>
      <c r="H20" s="13" t="s">
        <v>37</v>
      </c>
    </row>
    <row r="21" customFormat="false" ht="32.8" hidden="false" customHeight="false" outlineLevel="0" collapsed="false">
      <c r="A21" s="14" t="s">
        <v>67</v>
      </c>
      <c r="B21" s="15" t="s">
        <v>68</v>
      </c>
      <c r="C21" s="16" t="s">
        <v>69</v>
      </c>
      <c r="D21" s="16" t="str">
        <f aca="false">"2단계 + 최근 "&amp;$C$9&amp;"년 식품위생 행정처분 없음"</f>
        <v>2단계 + 최근 3년 식품위생 행정처분 없음</v>
      </c>
      <c r="E21" s="16" t="s">
        <v>70</v>
      </c>
      <c r="F21" s="16" t="s">
        <v>71</v>
      </c>
      <c r="G21" s="16" t="s">
        <v>72</v>
      </c>
      <c r="H21" s="16" t="s">
        <v>37</v>
      </c>
    </row>
    <row r="22" customFormat="false" ht="48.5" hidden="false" customHeight="false" outlineLevel="0" collapsed="false">
      <c r="A22" s="14" t="s">
        <v>67</v>
      </c>
      <c r="B22" s="15" t="s">
        <v>68</v>
      </c>
      <c r="C22" s="16" t="s">
        <v>73</v>
      </c>
      <c r="D22" s="16" t="str">
        <f aca="false">"가산 항목 "&amp;$C$10&amp;"개 이상 (착한가격·전통시장·모범음식점·위생등급)"</f>
        <v>가산 항목 1개 이상 (착한가격·전통시장·모범음식점·위생등급)</v>
      </c>
      <c r="E22" s="16" t="s">
        <v>74</v>
      </c>
      <c r="F22" s="16" t="s">
        <v>75</v>
      </c>
      <c r="G22" s="16" t="s">
        <v>76</v>
      </c>
      <c r="H22" s="16" t="s">
        <v>47</v>
      </c>
    </row>
    <row r="23" customFormat="false" ht="17.15" hidden="false" customHeight="false" outlineLevel="0" collapsed="false">
      <c r="A23" s="17" t="s">
        <v>77</v>
      </c>
      <c r="B23" s="17" t="s">
        <v>78</v>
      </c>
      <c r="C23" s="18" t="s">
        <v>79</v>
      </c>
      <c r="D23" s="19" t="s">
        <v>80</v>
      </c>
      <c r="E23" s="18" t="s">
        <v>81</v>
      </c>
      <c r="F23" s="18" t="s">
        <v>56</v>
      </c>
      <c r="G23" s="18" t="s">
        <v>82</v>
      </c>
      <c r="H23" s="18" t="s">
        <v>37</v>
      </c>
    </row>
  </sheetData>
  <mergeCells count="1">
    <mergeCell ref="A2:H2"/>
  </mergeCells>
  <dataValidations count="1">
    <dataValidation allowBlank="true" errorStyle="stop" operator="between" showDropDown="false" showErrorMessage="false" showInputMessage="false" sqref="H13:H23" type="list">
      <formula1>"설계 완료,확인 필요,진행 중,완료"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3" t="s">
        <v>83</v>
      </c>
      <c r="B1" s="3" t="s">
        <v>28</v>
      </c>
      <c r="C1" s="3" t="s">
        <v>84</v>
      </c>
      <c r="D1" s="20" t="s">
        <v>85</v>
      </c>
      <c r="E1" s="3" t="s">
        <v>29</v>
      </c>
      <c r="F1" s="3" t="s">
        <v>86</v>
      </c>
      <c r="G1" s="3" t="s">
        <v>87</v>
      </c>
      <c r="H1" s="3" t="s">
        <v>88</v>
      </c>
    </row>
    <row r="2" customFormat="false" ht="32.8" hidden="false" customHeight="false" outlineLevel="0" collapsed="false">
      <c r="A2" s="5" t="s">
        <v>89</v>
      </c>
      <c r="B2" s="5" t="s">
        <v>90</v>
      </c>
      <c r="C2" s="7" t="s">
        <v>91</v>
      </c>
      <c r="D2" s="7" t="s">
        <v>92</v>
      </c>
      <c r="E2" s="5" t="s">
        <v>93</v>
      </c>
      <c r="F2" s="7" t="s">
        <v>94</v>
      </c>
      <c r="G2" s="7" t="s">
        <v>95</v>
      </c>
      <c r="H2" s="5" t="s">
        <v>96</v>
      </c>
    </row>
    <row r="3" customFormat="false" ht="32.8" hidden="false" customHeight="false" outlineLevel="0" collapsed="false">
      <c r="A3" s="5" t="s">
        <v>97</v>
      </c>
      <c r="B3" s="5" t="s">
        <v>98</v>
      </c>
      <c r="C3" s="7" t="s">
        <v>99</v>
      </c>
      <c r="D3" s="7" t="s">
        <v>100</v>
      </c>
      <c r="E3" s="7" t="s">
        <v>101</v>
      </c>
      <c r="F3" s="7" t="s">
        <v>102</v>
      </c>
      <c r="G3" s="7" t="s">
        <v>103</v>
      </c>
      <c r="H3" s="5" t="s">
        <v>104</v>
      </c>
    </row>
    <row r="4" customFormat="false" ht="17.15" hidden="false" customHeight="false" outlineLevel="0" collapsed="false">
      <c r="A4" s="5" t="s">
        <v>105</v>
      </c>
      <c r="B4" s="5" t="s">
        <v>42</v>
      </c>
      <c r="C4" s="7" t="s">
        <v>106</v>
      </c>
      <c r="D4" s="7" t="s">
        <v>107</v>
      </c>
      <c r="E4" s="5" t="s">
        <v>43</v>
      </c>
      <c r="F4" s="7" t="s">
        <v>108</v>
      </c>
      <c r="G4" s="7" t="s">
        <v>95</v>
      </c>
      <c r="H4" s="5" t="s">
        <v>109</v>
      </c>
    </row>
    <row r="5" customFormat="false" ht="17.15" hidden="false" customHeight="false" outlineLevel="0" collapsed="false">
      <c r="A5" s="5" t="s">
        <v>51</v>
      </c>
      <c r="B5" s="5" t="s">
        <v>52</v>
      </c>
      <c r="C5" s="5" t="s">
        <v>110</v>
      </c>
      <c r="D5" s="5"/>
      <c r="E5" s="5" t="s">
        <v>111</v>
      </c>
      <c r="F5" s="7" t="s">
        <v>112</v>
      </c>
      <c r="G5" s="7" t="s">
        <v>113</v>
      </c>
      <c r="H5" s="5" t="s">
        <v>114</v>
      </c>
    </row>
    <row r="6" customFormat="false" ht="17.15" hidden="false" customHeight="false" outlineLevel="0" collapsed="false">
      <c r="A6" s="5" t="s">
        <v>115</v>
      </c>
      <c r="B6" s="5" t="s">
        <v>56</v>
      </c>
      <c r="C6" s="7" t="s">
        <v>116</v>
      </c>
      <c r="D6" s="7" t="s">
        <v>117</v>
      </c>
      <c r="E6" s="5" t="s">
        <v>118</v>
      </c>
      <c r="F6" s="7" t="s">
        <v>112</v>
      </c>
      <c r="G6" s="7" t="s">
        <v>95</v>
      </c>
      <c r="H6" s="5" t="s">
        <v>119</v>
      </c>
    </row>
    <row r="7" customFormat="false" ht="17.15" hidden="false" customHeight="false" outlineLevel="0" collapsed="false">
      <c r="A7" s="5" t="s">
        <v>60</v>
      </c>
      <c r="B7" s="5" t="s">
        <v>35</v>
      </c>
      <c r="C7" s="5" t="s">
        <v>110</v>
      </c>
      <c r="D7" s="5"/>
      <c r="E7" s="5" t="s">
        <v>61</v>
      </c>
      <c r="F7" s="7" t="s">
        <v>120</v>
      </c>
      <c r="G7" s="7" t="s">
        <v>113</v>
      </c>
      <c r="H7" s="5" t="s">
        <v>121</v>
      </c>
    </row>
    <row r="8" customFormat="false" ht="17.15" hidden="false" customHeight="false" outlineLevel="0" collapsed="false">
      <c r="A8" s="5" t="s">
        <v>64</v>
      </c>
      <c r="B8" s="5" t="s">
        <v>65</v>
      </c>
      <c r="C8" s="7" t="s">
        <v>116</v>
      </c>
      <c r="D8" s="7" t="s">
        <v>122</v>
      </c>
      <c r="E8" s="5" t="s">
        <v>66</v>
      </c>
      <c r="F8" s="7" t="s">
        <v>120</v>
      </c>
      <c r="G8" s="7" t="s">
        <v>95</v>
      </c>
      <c r="H8" s="5" t="s">
        <v>123</v>
      </c>
    </row>
    <row r="9" customFormat="false" ht="32.8" hidden="false" customHeight="false" outlineLevel="0" collapsed="false">
      <c r="A9" s="5" t="s">
        <v>70</v>
      </c>
      <c r="B9" s="5" t="s">
        <v>71</v>
      </c>
      <c r="C9" s="7" t="s">
        <v>116</v>
      </c>
      <c r="D9" s="7" t="s">
        <v>124</v>
      </c>
      <c r="E9" s="5" t="s">
        <v>125</v>
      </c>
      <c r="F9" s="7" t="s">
        <v>126</v>
      </c>
      <c r="G9" s="7" t="s">
        <v>95</v>
      </c>
      <c r="H9" s="5" t="s">
        <v>127</v>
      </c>
    </row>
    <row r="10" customFormat="false" ht="17.15" hidden="false" customHeight="false" outlineLevel="0" collapsed="false">
      <c r="A10" s="5" t="s">
        <v>128</v>
      </c>
      <c r="B10" s="5" t="s">
        <v>129</v>
      </c>
      <c r="C10" s="7" t="s">
        <v>130</v>
      </c>
      <c r="D10" s="7" t="s">
        <v>131</v>
      </c>
      <c r="E10" s="5" t="s">
        <v>132</v>
      </c>
      <c r="F10" s="7" t="s">
        <v>133</v>
      </c>
      <c r="G10" s="7" t="s">
        <v>95</v>
      </c>
      <c r="H10" s="5" t="s">
        <v>134</v>
      </c>
    </row>
    <row r="11" customFormat="false" ht="17.15" hidden="false" customHeight="false" outlineLevel="0" collapsed="false">
      <c r="A11" s="5" t="s">
        <v>135</v>
      </c>
      <c r="B11" s="5" t="s">
        <v>56</v>
      </c>
      <c r="C11" s="7" t="s">
        <v>91</v>
      </c>
      <c r="D11" s="7" t="s">
        <v>136</v>
      </c>
      <c r="E11" s="5" t="s">
        <v>137</v>
      </c>
      <c r="F11" s="7" t="s">
        <v>133</v>
      </c>
      <c r="G11" s="7" t="s">
        <v>95</v>
      </c>
      <c r="H11" s="5" t="s">
        <v>138</v>
      </c>
    </row>
    <row r="12" customFormat="false" ht="17.15" hidden="false" customHeight="false" outlineLevel="0" collapsed="false">
      <c r="A12" s="5" t="s">
        <v>139</v>
      </c>
      <c r="B12" s="5" t="s">
        <v>140</v>
      </c>
      <c r="C12" s="7" t="s">
        <v>130</v>
      </c>
      <c r="D12" s="7" t="s">
        <v>141</v>
      </c>
      <c r="E12" s="5" t="s">
        <v>76</v>
      </c>
      <c r="F12" s="7" t="s">
        <v>133</v>
      </c>
      <c r="G12" s="7" t="s">
        <v>95</v>
      </c>
      <c r="H12" s="5" t="s">
        <v>142</v>
      </c>
    </row>
    <row r="13" customFormat="false" ht="26.85" hidden="false" customHeight="false" outlineLevel="0" collapsed="false">
      <c r="A13" s="5" t="s">
        <v>143</v>
      </c>
      <c r="B13" s="5" t="s">
        <v>144</v>
      </c>
      <c r="C13" s="7" t="s">
        <v>130</v>
      </c>
      <c r="D13" s="7" t="s">
        <v>145</v>
      </c>
      <c r="E13" s="5" t="s">
        <v>146</v>
      </c>
      <c r="F13" s="7" t="s">
        <v>133</v>
      </c>
      <c r="G13" s="7" t="s">
        <v>113</v>
      </c>
      <c r="H13" s="5" t="s">
        <v>147</v>
      </c>
    </row>
    <row r="14" customFormat="false" ht="17.15" hidden="false" customHeight="false" outlineLevel="0" collapsed="false">
      <c r="A14" s="5" t="s">
        <v>81</v>
      </c>
      <c r="B14" s="5" t="s">
        <v>56</v>
      </c>
      <c r="C14" s="7" t="s">
        <v>91</v>
      </c>
      <c r="D14" s="7" t="s">
        <v>148</v>
      </c>
      <c r="E14" s="5" t="s">
        <v>82</v>
      </c>
      <c r="F14" s="5" t="s">
        <v>149</v>
      </c>
      <c r="G14" s="7" t="s">
        <v>95</v>
      </c>
      <c r="H14" s="5" t="s">
        <v>150</v>
      </c>
    </row>
    <row r="16" customFormat="false" ht="17.15" hidden="false" customHeight="false" outlineLevel="0" collapsed="false">
      <c r="A16" s="21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21" t="s">
        <v>152</v>
      </c>
    </row>
    <row r="2" customFormat="false" ht="17.15" hidden="false" customHeight="false" outlineLevel="0" collapsed="false">
      <c r="A2" s="3" t="s">
        <v>153</v>
      </c>
      <c r="B2" s="3" t="s">
        <v>154</v>
      </c>
      <c r="C2" s="3" t="s">
        <v>155</v>
      </c>
      <c r="D2" s="3" t="s">
        <v>156</v>
      </c>
      <c r="E2" s="3" t="s">
        <v>30</v>
      </c>
      <c r="F2" s="3" t="s">
        <v>157</v>
      </c>
    </row>
    <row r="3" customFormat="false" ht="17.15" hidden="false" customHeight="false" outlineLevel="0" collapsed="false">
      <c r="A3" s="5" t="n">
        <v>1</v>
      </c>
      <c r="B3" s="5" t="s">
        <v>158</v>
      </c>
      <c r="C3" s="7" t="s">
        <v>94</v>
      </c>
      <c r="D3" s="22"/>
      <c r="E3" s="23" t="s">
        <v>159</v>
      </c>
      <c r="F3" s="22"/>
    </row>
    <row r="4" customFormat="false" ht="17.15" hidden="false" customHeight="false" outlineLevel="0" collapsed="false">
      <c r="A4" s="5" t="n">
        <v>2</v>
      </c>
      <c r="B4" s="5" t="s">
        <v>160</v>
      </c>
      <c r="C4" s="7" t="s">
        <v>94</v>
      </c>
      <c r="D4" s="22"/>
      <c r="E4" s="23" t="s">
        <v>159</v>
      </c>
      <c r="F4" s="22"/>
    </row>
    <row r="5" customFormat="false" ht="17.15" hidden="false" customHeight="false" outlineLevel="0" collapsed="false">
      <c r="A5" s="5" t="n">
        <v>3</v>
      </c>
      <c r="B5" s="5" t="s">
        <v>161</v>
      </c>
      <c r="C5" s="7" t="s">
        <v>94</v>
      </c>
      <c r="D5" s="22"/>
      <c r="E5" s="23" t="s">
        <v>159</v>
      </c>
      <c r="F5" s="22"/>
    </row>
    <row r="6" customFormat="false" ht="17.15" hidden="false" customHeight="false" outlineLevel="0" collapsed="false">
      <c r="A6" s="5" t="n">
        <v>4</v>
      </c>
      <c r="B6" s="5" t="s">
        <v>162</v>
      </c>
      <c r="C6" s="7" t="s">
        <v>94</v>
      </c>
      <c r="D6" s="22"/>
      <c r="E6" s="23" t="s">
        <v>159</v>
      </c>
      <c r="F6" s="22"/>
    </row>
    <row r="7" customFormat="false" ht="17.15" hidden="false" customHeight="false" outlineLevel="0" collapsed="false">
      <c r="A7" s="5" t="n">
        <v>5</v>
      </c>
      <c r="B7" s="5" t="s">
        <v>163</v>
      </c>
      <c r="C7" s="7" t="s">
        <v>112</v>
      </c>
      <c r="D7" s="22"/>
      <c r="E7" s="23" t="s">
        <v>159</v>
      </c>
      <c r="F7" s="22"/>
    </row>
    <row r="8" customFormat="false" ht="17.15" hidden="false" customHeight="false" outlineLevel="0" collapsed="false">
      <c r="A8" s="5" t="n">
        <v>6</v>
      </c>
      <c r="B8" s="5" t="s">
        <v>164</v>
      </c>
      <c r="C8" s="7" t="s">
        <v>112</v>
      </c>
      <c r="D8" s="22"/>
      <c r="E8" s="23" t="s">
        <v>159</v>
      </c>
      <c r="F8" s="22"/>
    </row>
    <row r="9" customFormat="false" ht="17.15" hidden="false" customHeight="false" outlineLevel="0" collapsed="false">
      <c r="A9" s="5" t="n">
        <v>7</v>
      </c>
      <c r="B9" s="5" t="s">
        <v>165</v>
      </c>
      <c r="C9" s="7" t="s">
        <v>112</v>
      </c>
      <c r="D9" s="22"/>
      <c r="E9" s="23" t="s">
        <v>159</v>
      </c>
      <c r="F9" s="22"/>
    </row>
    <row r="10" customFormat="false" ht="17.15" hidden="false" customHeight="false" outlineLevel="0" collapsed="false">
      <c r="A10" s="5" t="n">
        <v>8</v>
      </c>
      <c r="B10" s="5" t="s">
        <v>166</v>
      </c>
      <c r="C10" s="7" t="s">
        <v>112</v>
      </c>
      <c r="D10" s="22"/>
      <c r="E10" s="23" t="s">
        <v>159</v>
      </c>
      <c r="F10" s="22"/>
    </row>
    <row r="11" customFormat="false" ht="17.15" hidden="false" customHeight="false" outlineLevel="0" collapsed="false">
      <c r="A11" s="5" t="n">
        <v>9</v>
      </c>
      <c r="B11" s="5" t="s">
        <v>167</v>
      </c>
      <c r="C11" s="7" t="s">
        <v>168</v>
      </c>
      <c r="D11" s="22"/>
      <c r="E11" s="23" t="s">
        <v>159</v>
      </c>
      <c r="F11" s="22"/>
    </row>
    <row r="12" customFormat="false" ht="17.15" hidden="false" customHeight="false" outlineLevel="0" collapsed="false">
      <c r="A12" s="5" t="n">
        <v>10</v>
      </c>
      <c r="B12" s="5" t="s">
        <v>169</v>
      </c>
      <c r="C12" s="7" t="s">
        <v>168</v>
      </c>
      <c r="D12" s="22"/>
      <c r="E12" s="23" t="s">
        <v>159</v>
      </c>
      <c r="F12" s="22"/>
    </row>
    <row r="13" customFormat="false" ht="17.15" hidden="false" customHeight="false" outlineLevel="0" collapsed="false">
      <c r="A13" s="5" t="n">
        <v>11</v>
      </c>
      <c r="B13" s="5" t="s">
        <v>170</v>
      </c>
      <c r="C13" s="7" t="s">
        <v>168</v>
      </c>
      <c r="D13" s="22"/>
      <c r="E13" s="23" t="s">
        <v>159</v>
      </c>
      <c r="F13" s="22"/>
    </row>
    <row r="14" customFormat="false" ht="17.15" hidden="false" customHeight="false" outlineLevel="0" collapsed="false">
      <c r="A14" s="5" t="n">
        <v>12</v>
      </c>
      <c r="B14" s="5" t="s">
        <v>171</v>
      </c>
      <c r="C14" s="5" t="s">
        <v>77</v>
      </c>
      <c r="D14" s="22"/>
      <c r="E14" s="23" t="s">
        <v>159</v>
      </c>
      <c r="F14" s="22"/>
    </row>
    <row r="16" customFormat="false" ht="17.15" hidden="false" customHeight="false" outlineLevel="0" collapsed="false">
      <c r="B16" s="4" t="s">
        <v>172</v>
      </c>
      <c r="C16" s="5" t="n">
        <f aca="false">COUNTIF(E3:E14,"완료")</f>
        <v>0</v>
      </c>
    </row>
    <row r="17" customFormat="false" ht="17.15" hidden="false" customHeight="false" outlineLevel="0" collapsed="false">
      <c r="B17" s="4" t="s">
        <v>173</v>
      </c>
      <c r="C17" s="24" t="n">
        <f aca="false">IF(COUNTA(B3:B14)=0,0,C16/COUNTA(B3:B14))</f>
        <v>0</v>
      </c>
    </row>
  </sheetData>
  <dataValidations count="1">
    <dataValidation allowBlank="true" errorStyle="stop" operator="between" showDropDown="false" showErrorMessage="false" showInputMessage="false" sqref="E3:E14" type="list">
      <formula1>"확인 전,진행 중,완료,불가"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2026-10-28T07:50:18Z</dcterms:created>
  <dc:creator>openpyxl</dc:creator>
  <dc:description/>
  <dc:language>en-US</dc:language>
  <cp:lastModifiedBy/>
  <dcterms:modified xsi:type="dcterms:W3CDTF">2026-10-28T07:50:18Z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