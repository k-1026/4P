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링크 목록" sheetId="2" state="visible" r:id="rId4"/>
  </sheets>
  <definedNames>
    <definedName function="false" hidden="true" localSheetId="1" name="_xlnm._FilterDatabase" vbProcedure="false">'링크 목록'!$A$4:$J$33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<sst xmlns="http://schemas.openxmlformats.org/spreadsheetml/2006/main" count="216" uniqueCount="124">
  <si>
    <t xml:space="preserve">접속 현황 요약</t>
  </si>
  <si>
    <r>
      <rPr>
        <sz val="10"/>
        <color rgb="FF595959"/>
        <rFont val="맑은 고딕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링크 목록</t>
    </r>
    <r>
      <rPr>
        <sz val="10"/>
        <color rgb="FF595959"/>
        <rFont val="맑은 고딕"/>
        <family val="0"/>
        <charset val="1"/>
      </rPr>
      <t xml:space="preserve">' </t>
    </r>
    <r>
      <rPr>
        <sz val="10"/>
        <color rgb="FF595959"/>
        <rFont val="Noto Sans CJK SC"/>
        <family val="2"/>
      </rPr>
      <t xml:space="preserve">시트의 접속 결과를 바꾸면 숫자가 자동으로 바뀝니다</t>
    </r>
    <r>
      <rPr>
        <sz val="10"/>
        <color rgb="FF595959"/>
        <rFont val="맑은 고딕"/>
        <family val="0"/>
        <charset val="1"/>
      </rPr>
      <t xml:space="preserve">.</t>
    </r>
  </si>
  <si>
    <t xml:space="preserve">접속 결과</t>
  </si>
  <si>
    <t xml:space="preserve">링크 수</t>
  </si>
  <si>
    <t xml:space="preserve">비율</t>
  </si>
  <si>
    <r>
      <rPr>
        <sz val="10"/>
        <rFont val="Noto Sans CJK SC"/>
        <family val="2"/>
      </rPr>
      <t xml:space="preserve">차단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확인함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</si>
  <si>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접속 가능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확인함</t>
    </r>
    <r>
      <rPr>
        <sz val="10"/>
        <rFont val="맑은 고딕"/>
        <family val="0"/>
        <charset val="1"/>
      </rPr>
      <t xml:space="preserve">)</t>
    </r>
  </si>
  <si>
    <t xml:space="preserve">직접 내려받기 필요</t>
  </si>
  <si>
    <t xml:space="preserve">미확인</t>
  </si>
  <si>
    <t xml:space="preserve">사이트 자체 데이터</t>
  </si>
  <si>
    <t xml:space="preserve">합계</t>
  </si>
  <si>
    <t xml:space="preserve">허용 도메인에 추가할 곳</t>
  </si>
  <si>
    <t xml:space="preserve">도메인</t>
  </si>
  <si>
    <t xml:space="preserve">차단 링크 수</t>
  </si>
  <si>
    <t xml:space="preserve">메모</t>
  </si>
  <si>
    <t xml:space="preserve">data.go.kr</t>
  </si>
  <si>
    <r>
      <rPr>
        <sz val="10"/>
        <rFont val="Noto Sans CJK SC"/>
        <family val="2"/>
      </rPr>
      <t xml:space="preserve">공공데이터포털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일부 파일은 로그인 필요</t>
    </r>
  </si>
  <si>
    <t xml:space="preserve">daegufood.go.kr</t>
  </si>
  <si>
    <r>
      <rPr>
        <sz val="10"/>
        <rFont val="Noto Sans CJK SC"/>
        <family val="2"/>
      </rPr>
      <t xml:space="preserve">대구푸드 </t>
    </r>
    <r>
      <rPr>
        <sz val="10"/>
        <rFont val="맑은 고딕"/>
        <family val="0"/>
        <charset val="1"/>
      </rPr>
      <t xml:space="preserve">(10</t>
    </r>
    <r>
      <rPr>
        <sz val="10"/>
        <rFont val="Noto Sans CJK SC"/>
        <family val="2"/>
      </rPr>
      <t xml:space="preserve">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식품안심업소</t>
    </r>
    <r>
      <rPr>
        <sz val="10"/>
        <rFont val="맑은 고딕"/>
        <family val="0"/>
        <charset val="1"/>
      </rPr>
      <t xml:space="preserve">)</t>
    </r>
  </si>
  <si>
    <t xml:space="preserve">data.daegu.go.kr</t>
  </si>
  <si>
    <r>
      <rPr>
        <sz val="10"/>
        <rFont val="Noto Sans CJK SC"/>
        <family val="2"/>
      </rPr>
      <t xml:space="preserve">대구 열린데이터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수성구 모범음식점</t>
    </r>
    <r>
      <rPr>
        <sz val="10"/>
        <rFont val="맑은 고딕"/>
        <family val="0"/>
        <charset val="1"/>
      </rPr>
      <t xml:space="preserve">)</t>
    </r>
  </si>
  <si>
    <t xml:space="preserve">진행 방법</t>
  </si>
  <si>
    <r>
      <rPr>
        <b val="true"/>
        <sz val="10"/>
        <rFont val="Noto Sans CJK SC"/>
        <family val="2"/>
      </rPr>
      <t xml:space="preserve">방법 </t>
    </r>
    <r>
      <rPr>
        <b val="true"/>
        <sz val="10"/>
        <rFont val="맑은 고딕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허용 도메인 추가</t>
    </r>
  </si>
  <si>
    <r>
      <rPr>
        <sz val="10"/>
        <rFont val="Noto Sans CJK SC"/>
        <family val="2"/>
      </rPr>
      <t xml:space="preserve">개인 유료 요금제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웹 브라우저로 </t>
    </r>
    <r>
      <rPr>
        <sz val="10"/>
        <rFont val="맑은 고딕"/>
        <family val="0"/>
        <charset val="1"/>
      </rPr>
      <t xml:space="preserve">claude.ai → Settings → Capabilities</t>
    </r>
    <r>
      <rPr>
        <sz val="10"/>
        <rFont val="Noto Sans CJK SC"/>
        <family val="2"/>
      </rPr>
      <t xml:space="preserve">에서 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도메인 추가</t>
    </r>
    <r>
      <rPr>
        <sz val="10"/>
        <rFont val="맑은 고딕"/>
        <family val="0"/>
        <charset val="1"/>
      </rPr>
      <t xml:space="preserve">. Team·Enterprise </t>
    </r>
    <r>
      <rPr>
        <sz val="10"/>
        <rFont val="Noto Sans CJK SC"/>
        <family val="2"/>
      </rPr>
      <t xml:space="preserve">요금제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관리자가 조직 설정에서 추가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</si>
  <si>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방법 </t>
    </r>
    <r>
      <rPr>
        <b val="true"/>
        <sz val="10"/>
        <rFont val="맑은 고딕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파일 직접 첨부</t>
    </r>
  </si>
  <si>
    <r>
      <rPr>
        <sz val="10"/>
        <rFont val="맑은 고딕"/>
        <family val="0"/>
        <charset val="1"/>
      </rPr>
      <t xml:space="preserve">CSV·XLSX </t>
    </r>
    <r>
      <rPr>
        <sz val="10"/>
        <rFont val="Noto Sans CJK SC"/>
        <family val="2"/>
      </rPr>
      <t xml:space="preserve">파일을 내려받아 채팅에 첨부</t>
    </r>
    <r>
      <rPr>
        <sz val="10"/>
        <rFont val="맑은 고딕"/>
        <family val="0"/>
        <charset val="1"/>
      </rPr>
      <t xml:space="preserve">. LOCALDATA</t>
    </r>
    <r>
      <rPr>
        <sz val="10"/>
        <rFont val="Noto Sans CJK SC"/>
        <family val="2"/>
      </rPr>
      <t xml:space="preserve">는 자동 접속 차단이라 이 방법만 가능</t>
    </r>
    <r>
      <rPr>
        <sz val="10"/>
        <rFont val="맑은 고딕"/>
        <family val="0"/>
        <charset val="1"/>
      </rPr>
      <t xml:space="preserve">.</t>
    </r>
  </si>
  <si>
    <t xml:space="preserve">지금 가능한 작업</t>
  </si>
  <si>
    <r>
      <rPr>
        <sz val="10"/>
        <rFont val="맑은 고딕"/>
        <family val="0"/>
        <charset val="1"/>
      </rPr>
      <t xml:space="preserve">GitHub(southkorea-maps)</t>
    </r>
    <r>
      <rPr>
        <sz val="10"/>
        <rFont val="Noto Sans CJK SC"/>
        <family val="2"/>
      </rPr>
      <t xml:space="preserve">에서 대구 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군 실제 경계를 가져와 지도 약도를 실제 경계로 교체</t>
    </r>
    <r>
      <rPr>
        <sz val="10"/>
        <rFont val="맑은 고딕"/>
        <family val="0"/>
        <charset val="1"/>
      </rPr>
      <t xml:space="preserve">.</t>
    </r>
  </si>
  <si>
    <t xml:space="preserve">동네가 먹여살린 가게 — 출처 링크 접속 현황</t>
  </si>
  <si>
    <r>
      <rPr>
        <sz val="10"/>
        <color rgb="FF595959"/>
        <rFont val="Noto Sans CJK SC"/>
        <family val="2"/>
      </rPr>
      <t xml:space="preserve">확인일 </t>
    </r>
    <r>
      <rPr>
        <sz val="10"/>
        <color rgb="FF595959"/>
        <rFont val="맑은 고딕"/>
        <family val="0"/>
        <charset val="1"/>
      </rPr>
      <t xml:space="preserve">2026-10-29 · </t>
    </r>
    <r>
      <rPr>
        <sz val="10"/>
        <color rgb="FF595959"/>
        <rFont val="Noto Sans CJK SC"/>
        <family val="2"/>
      </rPr>
      <t xml:space="preserve">작업 공간에서 직접 접속해 본 결과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노란 칸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접속 결과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담당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메모</t>
    </r>
    <r>
      <rPr>
        <sz val="10"/>
        <color rgb="FF595959"/>
        <rFont val="맑은 고딕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은 직접 고쳐 쓰는 칸입니다</t>
    </r>
    <r>
      <rPr>
        <sz val="10"/>
        <color rgb="FF595959"/>
        <rFont val="맑은 고딕"/>
        <family val="0"/>
        <charset val="1"/>
      </rPr>
      <t xml:space="preserve">.</t>
    </r>
  </si>
  <si>
    <t xml:space="preserve">번호</t>
  </si>
  <si>
    <t xml:space="preserve">기준</t>
  </si>
  <si>
    <r>
      <rPr>
        <b val="true"/>
        <sz val="10"/>
        <color rgb="FFFFFFFF"/>
        <rFont val="Noto Sans CJK SC"/>
        <family val="2"/>
      </rPr>
      <t xml:space="preserve">데이터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페이지</t>
    </r>
  </si>
  <si>
    <t xml:space="preserve">연결 가게 수</t>
  </si>
  <si>
    <t xml:space="preserve">URL</t>
  </si>
  <si>
    <t xml:space="preserve">필요한 조치</t>
  </si>
  <si>
    <t xml:space="preserve">담당</t>
  </si>
  <si>
    <r>
      <rPr>
        <sz val="10"/>
        <rFont val="맑은 고딕"/>
        <family val="0"/>
        <charset val="1"/>
      </rPr>
      <t xml:space="preserve">0. </t>
    </r>
    <r>
      <rPr>
        <sz val="10"/>
        <rFont val="Noto Sans CJK SC"/>
        <family val="2"/>
      </rPr>
      <t xml:space="preserve">대구 음식점 전체</t>
    </r>
  </si>
  <si>
    <r>
      <rPr>
        <sz val="10"/>
        <rFont val="Noto Sans CJK SC"/>
        <family val="2"/>
      </rPr>
      <t xml:space="preserve">소상공인시장진흥공단 상가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상권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정보 </t>
    </r>
    <r>
      <rPr>
        <sz val="10"/>
        <rFont val="맑은 고딕"/>
        <family val="0"/>
        <charset val="1"/>
      </rPr>
      <t xml:space="preserve">(2026-06 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</si>
  <si>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39,867</t>
    </r>
    <r>
      <rPr>
        <sz val="10"/>
        <rFont val="Noto Sans CJK SC"/>
        <family val="2"/>
      </rPr>
      <t xml:space="preserve">곳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전체</t>
    </r>
    <r>
      <rPr>
        <sz val="10"/>
        <rFont val="맑은 고딕"/>
        <family val="0"/>
        <charset val="1"/>
      </rPr>
      <t xml:space="preserve">)</t>
    </r>
  </si>
  <si>
    <t xml:space="preserve">https://www.data.go.kr/data/15083033/fileData.do</t>
  </si>
  <si>
    <t xml:space="preserve">일부 파일은 로그인해야 내려받기 가능</t>
  </si>
  <si>
    <r>
      <rPr>
        <sz val="10"/>
        <rFont val="Noto Sans CJK SC"/>
        <family val="2"/>
      </rPr>
      <t xml:space="preserve">북구 식품접객업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보충</t>
    </r>
    <r>
      <rPr>
        <sz val="10"/>
        <rFont val="맑은 고딕"/>
        <family val="0"/>
        <charset val="1"/>
      </rPr>
      <t xml:space="preserve">)</t>
    </r>
  </si>
  <si>
    <t xml:space="preserve">https://www.data.go.kr/data/15006336/fileData.do</t>
  </si>
  <si>
    <r>
      <rPr>
        <sz val="10"/>
        <rFont val="Noto Sans CJK SC"/>
        <family val="2"/>
      </rPr>
      <t xml:space="preserve">서구 식품위생업소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보충</t>
    </r>
    <r>
      <rPr>
        <sz val="10"/>
        <rFont val="맑은 고딕"/>
        <family val="0"/>
        <charset val="1"/>
      </rPr>
      <t xml:space="preserve">)</t>
    </r>
  </si>
  <si>
    <t xml:space="preserve">https://www.data.go.kr/data/15092713/fileData.do</t>
  </si>
  <si>
    <r>
      <rPr>
        <sz val="10"/>
        <rFont val="Noto Sans CJK SC"/>
        <family val="2"/>
      </rPr>
      <t xml:space="preserve">남구 식품위생업소현황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보충</t>
    </r>
    <r>
      <rPr>
        <sz val="10"/>
        <rFont val="맑은 고딕"/>
        <family val="0"/>
        <charset val="1"/>
      </rPr>
      <t xml:space="preserve">)</t>
    </r>
  </si>
  <si>
    <t xml:space="preserve">https://www.data.go.kr/data/3072264/fileData.do</t>
  </si>
  <si>
    <r>
      <rPr>
        <sz val="10"/>
        <rFont val="Noto Sans CJK SC"/>
        <family val="2"/>
      </rPr>
      <t xml:space="preserve">달서구 식품접객업소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휴게음식점</t>
    </r>
    <r>
      <rPr>
        <sz val="10"/>
        <rFont val="맑은 고딕"/>
        <family val="0"/>
        <charset val="1"/>
      </rPr>
      <t xml:space="preserve">) (</t>
    </r>
    <r>
      <rPr>
        <sz val="10"/>
        <rFont val="Noto Sans CJK SC"/>
        <family val="2"/>
      </rPr>
      <t xml:space="preserve">보충</t>
    </r>
    <r>
      <rPr>
        <sz val="10"/>
        <rFont val="맑은 고딕"/>
        <family val="0"/>
        <charset val="1"/>
      </rPr>
      <t xml:space="preserve">)</t>
    </r>
  </si>
  <si>
    <t xml:space="preserve">https://www.data.go.kr/data/15084548/fileData.do</t>
  </si>
  <si>
    <r>
      <rPr>
        <sz val="10"/>
        <rFont val="Noto Sans CJK SC"/>
        <family val="2"/>
      </rPr>
      <t xml:space="preserve">달성군 휴게음식점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보충</t>
    </r>
    <r>
      <rPr>
        <sz val="10"/>
        <rFont val="맑은 고딕"/>
        <family val="0"/>
        <charset val="1"/>
      </rPr>
      <t xml:space="preserve">)</t>
    </r>
  </si>
  <si>
    <t xml:space="preserve">https://www.data.go.kr/data/15127422/fileData.do</t>
  </si>
  <si>
    <r>
      <rPr>
        <sz val="10"/>
        <rFont val="Noto Sans CJK SC"/>
        <family val="2"/>
      </rPr>
      <t xml:space="preserve">지도 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군 경계</t>
    </r>
  </si>
  <si>
    <t xml:space="preserve">github.com</t>
  </si>
  <si>
    <t xml:space="preserve">https://github.com/southkorea/southkorea-maps</t>
  </si>
  <si>
    <r>
      <rPr>
        <sz val="10"/>
        <rFont val="맑은 고딕"/>
        <family val="0"/>
        <charset val="1"/>
      </rPr>
      <t xml:space="preserve">raw </t>
    </r>
    <r>
      <rPr>
        <sz val="10"/>
        <rFont val="Noto Sans CJK SC"/>
        <family val="2"/>
      </rPr>
      <t xml:space="preserve">파일 주소로 접속 확인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</si>
  <si>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찐 대구사람 추천</t>
    </r>
  </si>
  <si>
    <r>
      <rPr>
        <sz val="10"/>
        <rFont val="Noto Sans CJK SC"/>
        <family val="2"/>
      </rPr>
      <t xml:space="preserve">방문자 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외부 출처 없음</t>
    </r>
    <r>
      <rPr>
        <sz val="10"/>
        <rFont val="맑은 고딕"/>
        <family val="0"/>
        <charset val="1"/>
      </rPr>
      <t xml:space="preserve">)</t>
    </r>
  </si>
  <si>
    <t xml:space="preserve">claude.ai</t>
  </si>
  <si>
    <t xml:space="preserve">https://claude.ai/artifact/EuWwhZDcaRry4qtTjFgXmV</t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</si>
  <si>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착한가격업소</t>
    </r>
  </si>
  <si>
    <r>
      <rPr>
        <sz val="10"/>
        <rFont val="Noto Sans CJK SC"/>
        <family val="2"/>
      </rPr>
      <t xml:space="preserve">대구광역시 착한가격업소 현황 </t>
    </r>
    <r>
      <rPr>
        <sz val="10"/>
        <rFont val="맑은 고딕"/>
        <family val="0"/>
        <charset val="1"/>
      </rPr>
      <t xml:space="preserve">(2026-10-01)</t>
    </r>
  </si>
  <si>
    <r>
      <rPr>
        <sz val="10"/>
        <rFont val="맑은 고딕"/>
        <family val="0"/>
        <charset val="1"/>
      </rPr>
      <t xml:space="preserve">499</t>
    </r>
    <r>
      <rPr>
        <sz val="10"/>
        <rFont val="Noto Sans CJK SC"/>
        <family val="2"/>
      </rPr>
      <t xml:space="preserve">곳</t>
    </r>
  </si>
  <si>
    <t xml:space="preserve">https://www.data.go.kr/data/15126761/fileData.do</t>
  </si>
  <si>
    <r>
      <rPr>
        <sz val="10"/>
        <rFont val="Noto Sans CJK SC"/>
        <family val="2"/>
      </rPr>
      <t xml:space="preserve">행정안전부 착한가격업소 전국 현황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제도 안내</t>
    </r>
    <r>
      <rPr>
        <sz val="10"/>
        <rFont val="맑은 고딕"/>
        <family val="0"/>
        <charset val="1"/>
      </rPr>
      <t xml:space="preserve">)</t>
    </r>
  </si>
  <si>
    <t xml:space="preserve">https://www.data.go.kr/data/3045247/fileData.do</t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</si>
  <si>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백년가게</t>
    </r>
  </si>
  <si>
    <r>
      <rPr>
        <sz val="10"/>
        <rFont val="Noto Sans CJK SC"/>
        <family val="2"/>
      </rPr>
      <t xml:space="preserve">전국 백년가게 지정리스트 </t>
    </r>
    <r>
      <rPr>
        <sz val="10"/>
        <rFont val="맑은 고딕"/>
        <family val="0"/>
        <charset val="1"/>
      </rPr>
      <t xml:space="preserve">(2026-08-20)</t>
    </r>
  </si>
  <si>
    <r>
      <rPr>
        <sz val="10"/>
        <rFont val="맑은 고딕"/>
        <family val="0"/>
        <charset val="1"/>
      </rPr>
      <t xml:space="preserve">60</t>
    </r>
    <r>
      <rPr>
        <sz val="10"/>
        <rFont val="Noto Sans CJK SC"/>
        <family val="2"/>
      </rPr>
      <t xml:space="preserve">곳</t>
    </r>
  </si>
  <si>
    <t xml:space="preserve">https://www.data.go.kr/data/15132695/fileData.do</t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</si>
  <si>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모범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구청 지정</t>
    </r>
  </si>
  <si>
    <t xml:space="preserve">남구 모범음식점 현황</t>
  </si>
  <si>
    <r>
      <rPr>
        <sz val="10"/>
        <rFont val="맑은 고딕"/>
        <family val="0"/>
        <charset val="1"/>
      </rPr>
      <t xml:space="preserve">368</t>
    </r>
    <r>
      <rPr>
        <sz val="10"/>
        <rFont val="Noto Sans CJK SC"/>
        <family val="2"/>
      </rPr>
      <t xml:space="preserve">곳 </t>
    </r>
    <r>
      <rPr>
        <sz val="10"/>
        <rFont val="맑은 고딕"/>
        <family val="0"/>
        <charset val="1"/>
      </rPr>
      <t xml:space="preserve">(4</t>
    </r>
    <r>
      <rPr>
        <sz val="10"/>
        <rFont val="Noto Sans CJK SC"/>
        <family val="2"/>
      </rPr>
      <t xml:space="preserve">개 합계</t>
    </r>
    <r>
      <rPr>
        <sz val="10"/>
        <rFont val="맑은 고딕"/>
        <family val="0"/>
        <charset val="1"/>
      </rPr>
      <t xml:space="preserve">)</t>
    </r>
  </si>
  <si>
    <t xml:space="preserve">https://www.data.go.kr/data/3069692/fileData.do</t>
  </si>
  <si>
    <t xml:space="preserve">동구 모범음식점 현황</t>
  </si>
  <si>
    <t xml:space="preserve">https://www.data.go.kr/data/15052654/fileData.do</t>
  </si>
  <si>
    <t xml:space="preserve">수성구 모범음식점 현황</t>
  </si>
  <si>
    <t xml:space="preserve">https://data.daegu.go.kr/open/data/dataView.do?dataSetId=15054680&amp;dataSetDetailId=150546801a5c23ee02440&amp;provdMethod=FILE</t>
  </si>
  <si>
    <t xml:space="preserve">달서구 달서맛나 지정음식점</t>
  </si>
  <si>
    <t xml:space="preserve">https://www.data.go.kr/data/15144887/fileData.do</t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</si>
  <si>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대구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미</t>
    </r>
  </si>
  <si>
    <r>
      <rPr>
        <sz val="10"/>
        <rFont val="Noto Sans CJK SC"/>
        <family val="2"/>
      </rPr>
      <t xml:space="preserve">대구푸드 대구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미 소개</t>
    </r>
  </si>
  <si>
    <r>
      <rPr>
        <sz val="10"/>
        <rFont val="맑은 고딕"/>
        <family val="0"/>
        <charset val="1"/>
      </rPr>
      <t xml:space="preserve">835</t>
    </r>
    <r>
      <rPr>
        <sz val="10"/>
        <rFont val="Noto Sans CJK SC"/>
        <family val="2"/>
      </rPr>
      <t xml:space="preserve">곳</t>
    </r>
  </si>
  <si>
    <t xml:space="preserve">https://www.daegufood.go.kr/kor/</t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</si>
  <si>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구청 추천 맛집</t>
    </r>
  </si>
  <si>
    <r>
      <rPr>
        <sz val="10"/>
        <rFont val="Noto Sans CJK SC"/>
        <family val="2"/>
      </rPr>
      <t xml:space="preserve">중구 맛집 현황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묵은맛명가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맛락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골목투어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</si>
  <si>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272</t>
    </r>
    <r>
      <rPr>
        <sz val="10"/>
        <rFont val="Noto Sans CJK SC"/>
        <family val="2"/>
      </rPr>
      <t xml:space="preserve">곳 </t>
    </r>
    <r>
      <rPr>
        <sz val="10"/>
        <rFont val="맑은 고딕"/>
        <family val="0"/>
        <charset val="1"/>
      </rPr>
      <t xml:space="preserve">(4</t>
    </r>
    <r>
      <rPr>
        <sz val="10"/>
        <rFont val="Noto Sans CJK SC"/>
        <family val="2"/>
      </rPr>
      <t xml:space="preserve">개 합계</t>
    </r>
    <r>
      <rPr>
        <sz val="10"/>
        <rFont val="맑은 고딕"/>
        <family val="0"/>
        <charset val="1"/>
      </rPr>
      <t xml:space="preserve">)</t>
    </r>
  </si>
  <si>
    <t xml:space="preserve">https://www.data.go.kr/data/15052602/fileData.do</t>
  </si>
  <si>
    <t xml:space="preserve">남구 안지랑곱창골목</t>
  </si>
  <si>
    <t xml:space="preserve">https://www.data.go.kr/data/15122879/fileData.do</t>
  </si>
  <si>
    <t xml:space="preserve">남구 앞산카페거리</t>
  </si>
  <si>
    <t xml:space="preserve">https://www.data.go.kr/data/15122876/fileData.do</t>
  </si>
  <si>
    <t xml:space="preserve">남구 앞산맛둘레길</t>
  </si>
  <si>
    <t xml:space="preserve">https://www.data.go.kr/data/3069689/fileData.do</t>
  </si>
  <si>
    <r>
      <rPr>
        <sz val="10"/>
        <rFont val="맑은 고딕"/>
        <family val="0"/>
        <charset val="1"/>
      </rPr>
      <t xml:space="preserve">7. 20</t>
    </r>
    <r>
      <rPr>
        <sz val="10"/>
        <rFont val="Noto Sans CJK SC"/>
        <family val="2"/>
      </rPr>
      <t xml:space="preserve">년 이상 영업</t>
    </r>
  </si>
  <si>
    <r>
      <rPr>
        <sz val="10"/>
        <rFont val="Noto Sans CJK SC"/>
        <family val="2"/>
      </rPr>
      <t xml:space="preserve">남구 식품위생업소현황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인허가일자 포함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</si>
  <si>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566</t>
    </r>
    <r>
      <rPr>
        <sz val="10"/>
        <rFont val="Noto Sans CJK SC"/>
        <family val="2"/>
      </rPr>
      <t xml:space="preserve">곳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남구만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</si>
  <si>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LOCALDATA </t>
    </r>
    <r>
      <rPr>
        <sz val="10"/>
        <rFont val="Noto Sans CJK SC"/>
        <family val="2"/>
      </rPr>
      <t xml:space="preserve">일반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휴게음식점 인허가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대구 전체 확장용</t>
    </r>
    <r>
      <rPr>
        <sz val="10"/>
        <rFont val="맑은 고딕"/>
        <family val="0"/>
        <charset val="1"/>
      </rPr>
      <t xml:space="preserve">)</t>
    </r>
  </si>
  <si>
    <t xml:space="preserve">file.localdata.go.kr</t>
  </si>
  <si>
    <t xml:space="preserve">https://file.localdata.go.kr/file/general_restaurants/info</t>
  </si>
  <si>
    <r>
      <rPr>
        <sz val="10"/>
        <rFont val="맑은 고딕"/>
        <family val="0"/>
        <charset val="1"/>
      </rPr>
      <t xml:space="preserve">md </t>
    </r>
    <r>
      <rPr>
        <sz val="10"/>
        <rFont val="Noto Sans CJK SC"/>
        <family val="2"/>
      </rPr>
      <t xml:space="preserve">파일 기준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자동 접속 차단</t>
    </r>
  </si>
  <si>
    <r>
      <rPr>
        <sz val="10"/>
        <rFont val="맑은 고딕"/>
        <family val="0"/>
        <charset val="1"/>
      </rPr>
      <t xml:space="preserve">8. </t>
    </r>
    <r>
      <rPr>
        <sz val="10"/>
        <rFont val="Noto Sans CJK SC"/>
        <family val="2"/>
      </rPr>
      <t xml:space="preserve">위생등급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식품안심업소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</si>
  <si>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대구푸드 식품안심업소 지정 목록 </t>
    </r>
    <r>
      <rPr>
        <sz val="10"/>
        <rFont val="맑은 고딕"/>
        <family val="0"/>
        <charset val="1"/>
      </rPr>
      <t xml:space="preserve">(2026-10-29 </t>
    </r>
    <r>
      <rPr>
        <sz val="10"/>
        <rFont val="Noto Sans CJK SC"/>
        <family val="2"/>
      </rPr>
      <t xml:space="preserve">수집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</si>
  <si>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2,343</t>
    </r>
    <r>
      <rPr>
        <sz val="10"/>
        <rFont val="Noto Sans CJK SC"/>
        <family val="2"/>
      </rPr>
      <t xml:space="preserve">곳</t>
    </r>
  </si>
  <si>
    <t xml:space="preserve">https://www.daegufood.go.kr/kor/sub/food_clean.asp?snm=108</t>
  </si>
  <si>
    <r>
      <rPr>
        <sz val="10"/>
        <rFont val="Noto Sans CJK SC"/>
        <family val="2"/>
      </rPr>
      <t xml:space="preserve">식품의약품안전처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소개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제도 설명</t>
    </r>
    <r>
      <rPr>
        <sz val="10"/>
        <rFont val="맑은 고딕"/>
        <family val="0"/>
        <charset val="1"/>
      </rPr>
      <t xml:space="preserve">)</t>
    </r>
  </si>
  <si>
    <t xml:space="preserve">https://www.data.go.kr/data/15060883/openapi.do</t>
  </si>
  <si>
    <r>
      <rPr>
        <sz val="10"/>
        <rFont val="맑은 고딕"/>
        <family val="0"/>
        <charset val="1"/>
      </rPr>
      <t xml:space="preserve">9. </t>
    </r>
    <r>
      <rPr>
        <sz val="10"/>
        <rFont val="Noto Sans CJK SC"/>
        <family val="2"/>
      </rPr>
      <t xml:space="preserve">빠진 기준</t>
    </r>
  </si>
  <si>
    <t xml:space="preserve">블루리본</t>
  </si>
  <si>
    <t xml:space="preserve">공개 데이터 없음</t>
  </si>
  <si>
    <t xml:space="preserve">bluer.co.kr</t>
  </si>
  <si>
    <t xml:space="preserve">https://www.bluer.co.kr</t>
  </si>
  <si>
    <r>
      <rPr>
        <sz val="10"/>
        <rFont val="Noto Sans CJK SC"/>
        <family val="2"/>
      </rPr>
      <t xml:space="preserve">미쉐린 가이드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한국은 서울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부산만</t>
    </r>
    <r>
      <rPr>
        <sz val="10"/>
        <rFont val="맑은 고딕"/>
        <family val="0"/>
        <charset val="1"/>
      </rPr>
      <t xml:space="preserve">)</t>
    </r>
  </si>
  <si>
    <t xml:space="preserve">대구 없음</t>
  </si>
  <si>
    <t xml:space="preserve">guide.michelin.com</t>
  </si>
  <si>
    <t xml:space="preserve">https://guide.michelin.com/kr/ko</t>
  </si>
  <si>
    <t xml:space="preserve">사진</t>
  </si>
  <si>
    <t xml:space="preserve">국일따로국밥 사진</t>
  </si>
  <si>
    <t xml:space="preserve">commons.wikimedia.org</t>
  </si>
  <si>
    <t xml:space="preserve">https://commons.wikimedia.org/wiki/File:Gugil_Ttaro_gukbap.jpg</t>
  </si>
  <si>
    <t xml:space="preserve">미성당 납작만두 사진</t>
  </si>
  <si>
    <t xml:space="preserve">https://commons.wikimedia.org/wiki/File:Napjak_mandu_at_Miseongdang_Napjak_Mandu.jpg</t>
  </si>
  <si>
    <t xml:space="preserve">블루문레스토랑 사진</t>
  </si>
  <si>
    <t xml:space="preserve">https://commons.wikimedia.org/wiki/File:Blue_Moon_Restaurant_Taegu_Korea_-_panoramio.jpg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</si>
</sst>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sz val="10"/>
      <color rgb="FF595959"/>
      <name val="맑은 고딕"/>
      <family val="0"/>
      <charset val="1"/>
    </font>
    <font>
      <sz val="10"/>
      <color rgb="FF595959"/>
      <name val="Noto Sans CJK SC"/>
      <family val="2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Noto Sans CJK SC"/>
      <family val="2"/>
    </font>
    <font>
      <b val="true"/>
      <sz val="12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u val="single"/>
      <sz val="10"/>
      <color rgb="FF0563C1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맑은 고딕"/>
        <charset val="1"/>
        <family val="0"/>
        <b val="1"/>
        <color rgb="FFC00000"/>
      </font>
    </dxf>
    <dxf>
      <font>
        <name val="맑은 고딕"/>
        <charset val="1"/>
        <family val="0"/>
        <b val="1"/>
        <color rgb="FF2E7D32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ata.go.kr/data/15083033/fileData.do" TargetMode="External"/><Relationship Id="rId2" Type="http://schemas.openxmlformats.org/officeDocument/2006/relationships/hyperlink" Target="https://www.data.go.kr/data/15006336/fileData.do" TargetMode="External"/><Relationship Id="rId3" Type="http://schemas.openxmlformats.org/officeDocument/2006/relationships/hyperlink" Target="https://www.data.go.kr/data/15092713/fileData.do" TargetMode="External"/><Relationship Id="rId4" Type="http://schemas.openxmlformats.org/officeDocument/2006/relationships/hyperlink" Target="https://www.data.go.kr/data/3072264/fileData.do" TargetMode="External"/><Relationship Id="rId5" Type="http://schemas.openxmlformats.org/officeDocument/2006/relationships/hyperlink" Target="https://www.data.go.kr/data/15084548/fileData.do" TargetMode="External"/><Relationship Id="rId6" Type="http://schemas.openxmlformats.org/officeDocument/2006/relationships/hyperlink" Target="https://www.data.go.kr/data/15127422/fileData.do" TargetMode="External"/><Relationship Id="rId7" Type="http://schemas.openxmlformats.org/officeDocument/2006/relationships/hyperlink" Target="https://github.com/southkorea/southkorea-maps" TargetMode="External"/><Relationship Id="rId8" Type="http://schemas.openxmlformats.org/officeDocument/2006/relationships/hyperlink" Target="https://claude.ai/artifact/EuWwhZDcaRry4qtTjFgXmV" TargetMode="External"/><Relationship Id="rId9" Type="http://schemas.openxmlformats.org/officeDocument/2006/relationships/hyperlink" Target="https://www.data.go.kr/data/15126761/fileData.do" TargetMode="External"/><Relationship Id="rId10" Type="http://schemas.openxmlformats.org/officeDocument/2006/relationships/hyperlink" Target="https://www.data.go.kr/data/3045247/fileData.do" TargetMode="External"/><Relationship Id="rId11" Type="http://schemas.openxmlformats.org/officeDocument/2006/relationships/hyperlink" Target="https://www.data.go.kr/data/15132695/fileData.do" TargetMode="External"/><Relationship Id="rId12" Type="http://schemas.openxmlformats.org/officeDocument/2006/relationships/hyperlink" Target="https://www.data.go.kr/data/3069692/fileData.do" TargetMode="External"/><Relationship Id="rId13" Type="http://schemas.openxmlformats.org/officeDocument/2006/relationships/hyperlink" Target="https://www.data.go.kr/data/15052654/fileData.do" TargetMode="External"/><Relationship Id="rId14" Type="http://schemas.openxmlformats.org/officeDocument/2006/relationships/hyperlink" Target="https://data.daegu.go.kr/open/data/dataView.do?dataSetId=15054680&amp;dataSetDetailId=150546801a5c23ee02440&amp;provdMethod=FILE" TargetMode="External"/><Relationship Id="rId15" Type="http://schemas.openxmlformats.org/officeDocument/2006/relationships/hyperlink" Target="https://www.data.go.kr/data/15144887/fileData.do" TargetMode="External"/><Relationship Id="rId16" Type="http://schemas.openxmlformats.org/officeDocument/2006/relationships/hyperlink" Target="https://www.daegufood.go.kr/kor/" TargetMode="External"/><Relationship Id="rId17" Type="http://schemas.openxmlformats.org/officeDocument/2006/relationships/hyperlink" Target="https://www.data.go.kr/data/15052602/fileData.do" TargetMode="External"/><Relationship Id="rId18" Type="http://schemas.openxmlformats.org/officeDocument/2006/relationships/hyperlink" Target="https://www.data.go.kr/data/15122879/fileData.do" TargetMode="External"/><Relationship Id="rId19" Type="http://schemas.openxmlformats.org/officeDocument/2006/relationships/hyperlink" Target="https://www.data.go.kr/data/15122876/fileData.do" TargetMode="External"/><Relationship Id="rId20" Type="http://schemas.openxmlformats.org/officeDocument/2006/relationships/hyperlink" Target="https://www.data.go.kr/data/3069689/fileData.do" TargetMode="External"/><Relationship Id="rId21" Type="http://schemas.openxmlformats.org/officeDocument/2006/relationships/hyperlink" Target="https://www.data.go.kr/data/3072264/fileData.do" TargetMode="External"/><Relationship Id="rId22" Type="http://schemas.openxmlformats.org/officeDocument/2006/relationships/hyperlink" Target="https://file.localdata.go.kr/file/general_restaurants/info" TargetMode="External"/><Relationship Id="rId23" Type="http://schemas.openxmlformats.org/officeDocument/2006/relationships/hyperlink" Target="https://www.daegufood.go.kr/kor/sub/food_clean.asp?snm=108" TargetMode="External"/><Relationship Id="rId24" Type="http://schemas.openxmlformats.org/officeDocument/2006/relationships/hyperlink" Target="https://www.data.go.kr/data/15060883/openapi.do" TargetMode="External"/><Relationship Id="rId25" Type="http://schemas.openxmlformats.org/officeDocument/2006/relationships/hyperlink" Target="https://www.bluer.co.kr/" TargetMode="External"/><Relationship Id="rId26" Type="http://schemas.openxmlformats.org/officeDocument/2006/relationships/hyperlink" Target="https://guide.michelin.com/kr/ko" TargetMode="External"/><Relationship Id="rId27" Type="http://schemas.openxmlformats.org/officeDocument/2006/relationships/hyperlink" Target="https://commons.wikimedia.org/wiki/File:Gugil_Ttaro_gukbap.jpg" TargetMode="External"/><Relationship Id="rId28" Type="http://schemas.openxmlformats.org/officeDocument/2006/relationships/hyperlink" Target="https://commons.wikimedia.org/wiki/File:Napjak_mandu_at_Miseongdang_Napjak_Mandu.jpg" TargetMode="External"/><Relationship Id="rId29" Type="http://schemas.openxmlformats.org/officeDocument/2006/relationships/hyperlink" Target="https://commons.wikimedia.org/wiki/File:Blue_Moon_Restaurant_Taegu_Korea_-_panoramio.jpg" TargetMode="External"/><Relationship Id="rId3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n">
        <f aca="false">COUNTIF('링크 목록'!$G$5:$G$33,A5)</f>
        <v>21</v>
      </c>
      <c r="C5" s="5" t="n">
        <f aca="false">IF($B$10=0,0,B5/$B$10)</f>
        <v>0.724137931034483</v>
      </c>
    </row>
    <row r="6" customFormat="false" ht="15" hidden="false" customHeight="false" outlineLevel="0" collapsed="false">
      <c r="A6" s="4" t="s">
        <v>6</v>
      </c>
      <c r="B6" s="4" t="n">
        <f aca="false">COUNTIF('링크 목록'!$G$5:$G$33,A6)</f>
        <v>1</v>
      </c>
      <c r="C6" s="5" t="n">
        <f aca="false">IF($B$10=0,0,B6/$B$10)</f>
        <v>0.0344827586206897</v>
      </c>
    </row>
    <row r="7" customFormat="false" ht="15" hidden="false" customHeight="false" outlineLevel="0" collapsed="false">
      <c r="A7" s="4" t="s">
        <v>7</v>
      </c>
      <c r="B7" s="4" t="n">
        <f aca="false">COUNTIF('링크 목록'!$G$5:$G$33,A7)</f>
        <v>1</v>
      </c>
      <c r="C7" s="5" t="n">
        <f aca="false">IF($B$10=0,0,B7/$B$10)</f>
        <v>0.0344827586206897</v>
      </c>
    </row>
    <row r="8" customFormat="false" ht="15" hidden="false" customHeight="false" outlineLevel="0" collapsed="false">
      <c r="A8" s="4" t="s">
        <v>8</v>
      </c>
      <c r="B8" s="4" t="n">
        <f aca="false">COUNTIF('링크 목록'!$G$5:$G$33,A8)</f>
        <v>5</v>
      </c>
      <c r="C8" s="5" t="n">
        <f aca="false">IF($B$10=0,0,B8/$B$10)</f>
        <v>0.172413793103448</v>
      </c>
    </row>
    <row r="9" customFormat="false" ht="15" hidden="false" customHeight="false" outlineLevel="0" collapsed="false">
      <c r="A9" s="4" t="s">
        <v>9</v>
      </c>
      <c r="B9" s="4" t="n">
        <f aca="false">COUNTIF('링크 목록'!$G$5:$G$33,A9)</f>
        <v>1</v>
      </c>
      <c r="C9" s="5" t="n">
        <f aca="false">IF($B$10=0,0,B9/$B$10)</f>
        <v>0.0344827586206897</v>
      </c>
    </row>
    <row r="10" customFormat="false" ht="15" hidden="false" customHeight="false" outlineLevel="0" collapsed="false">
      <c r="A10" s="6" t="s">
        <v>10</v>
      </c>
      <c r="B10" s="6" t="n">
        <f aca="false">SUM(B5:B9)</f>
        <v>29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3" t="s">
        <v>12</v>
      </c>
      <c r="B13" s="3" t="s">
        <v>3</v>
      </c>
      <c r="C13" s="3" t="s">
        <v>13</v>
      </c>
      <c r="D13" s="3" t="s">
        <v>14</v>
      </c>
    </row>
    <row r="14" customFormat="false" ht="15" hidden="false" customHeight="false" outlineLevel="0" collapsed="false">
      <c r="A14" s="8" t="s">
        <v>15</v>
      </c>
      <c r="B14" s="4" t="n">
        <f aca="false">COUNTIF('링크 목록'!$E$5:$E$33,A14)</f>
        <v>18</v>
      </c>
      <c r="C14" s="4" t="n">
        <f aca="false">COUNTIFS('링크 목록'!$E$5:$E$33,A14,'링크 목록'!$G$5:$G$33,"차단 (확인함)")</f>
        <v>18</v>
      </c>
      <c r="D14" s="4" t="s">
        <v>16</v>
      </c>
    </row>
    <row r="15" customFormat="false" ht="15" hidden="false" customHeight="false" outlineLevel="0" collapsed="false">
      <c r="A15" s="8" t="s">
        <v>17</v>
      </c>
      <c r="B15" s="4" t="n">
        <f aca="false">COUNTIF('링크 목록'!$E$5:$E$33,A15)</f>
        <v>2</v>
      </c>
      <c r="C15" s="4" t="n">
        <f aca="false">COUNTIFS('링크 목록'!$E$5:$E$33,A15,'링크 목록'!$G$5:$G$33,"차단 (확인함)")</f>
        <v>2</v>
      </c>
      <c r="D15" s="4" t="s">
        <v>18</v>
      </c>
    </row>
    <row r="16" customFormat="false" ht="15" hidden="false" customHeight="false" outlineLevel="0" collapsed="false">
      <c r="A16" s="8" t="s">
        <v>19</v>
      </c>
      <c r="B16" s="4" t="n">
        <f aca="false">COUNTIF('링크 목록'!$E$5:$E$33,A16)</f>
        <v>1</v>
      </c>
      <c r="C16" s="4" t="n">
        <f aca="false">COUNTIFS('링크 목록'!$E$5:$E$33,A16,'링크 목록'!$G$5:$G$33,"차단 (확인함)")</f>
        <v>1</v>
      </c>
      <c r="D16" s="4" t="s">
        <v>20</v>
      </c>
    </row>
    <row r="18" customFormat="false" ht="15" hidden="false" customHeight="false" outlineLevel="0" collapsed="false">
      <c r="A18" s="7" t="s">
        <v>21</v>
      </c>
    </row>
    <row r="19" customFormat="false" ht="31.5" hidden="false" customHeight="true" outlineLevel="0" collapsed="false">
      <c r="A19" s="6" t="s">
        <v>22</v>
      </c>
      <c r="B19" s="9" t="s">
        <v>23</v>
      </c>
      <c r="C19" s="9"/>
      <c r="D19" s="9"/>
    </row>
    <row r="20" customFormat="false" ht="31.5" hidden="false" customHeight="true" outlineLevel="0" collapsed="false">
      <c r="A20" s="6" t="s">
        <v>24</v>
      </c>
      <c r="B20" s="10" t="s">
        <v>25</v>
      </c>
      <c r="C20" s="10"/>
      <c r="D20" s="10"/>
    </row>
    <row r="21" customFormat="false" ht="31.5" hidden="false" customHeight="true" outlineLevel="0" collapsed="false">
      <c r="A21" s="6" t="s">
        <v>26</v>
      </c>
      <c r="B21" s="10" t="s">
        <v>27</v>
      </c>
      <c r="C21" s="10"/>
      <c r="D21" s="10"/>
    </row>
  </sheetData>
  <mergeCells count="3">
    <mergeCell ref="B19:D19"/>
    <mergeCell ref="B20:D20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48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11" t="s">
        <v>29</v>
      </c>
    </row>
    <row r="4" customFormat="false" ht="15" hidden="false" customHeight="false" outlineLevel="0" collapsed="false">
      <c r="A4" s="12" t="s">
        <v>30</v>
      </c>
      <c r="B4" s="12" t="s">
        <v>31</v>
      </c>
      <c r="C4" s="12" t="s">
        <v>32</v>
      </c>
      <c r="D4" s="12" t="s">
        <v>33</v>
      </c>
      <c r="E4" s="12" t="s">
        <v>12</v>
      </c>
      <c r="F4" s="13" t="s">
        <v>34</v>
      </c>
      <c r="G4" s="12" t="s">
        <v>2</v>
      </c>
      <c r="H4" s="12" t="s">
        <v>35</v>
      </c>
      <c r="I4" s="12" t="s">
        <v>36</v>
      </c>
      <c r="J4" s="12" t="s">
        <v>14</v>
      </c>
    </row>
    <row r="5" customFormat="false" ht="29.85" hidden="false" customHeight="false" outlineLevel="0" collapsed="false">
      <c r="A5" s="14" t="n">
        <v>1</v>
      </c>
      <c r="B5" s="14" t="s">
        <v>37</v>
      </c>
      <c r="C5" s="15" t="s">
        <v>38</v>
      </c>
      <c r="D5" s="14" t="s">
        <v>39</v>
      </c>
      <c r="E5" s="14" t="s">
        <v>15</v>
      </c>
      <c r="F5" s="16" t="s">
        <v>40</v>
      </c>
      <c r="G5" s="17" t="s">
        <v>5</v>
      </c>
      <c r="H5" s="15" t="str">
        <f aca="false">IF(G5="차단 (확인함)","허용 도메인 추가 또는 파일 직접 첨부",IF(G5="접속 가능 (확인함)","바로 사용 가능",IF(G5="직접 내려받기 필요","직접 내려받아 첨부",IF(G5="사이트 자체 데이터","조치 불필요","필요 시 접속 확인"))))</f>
        <v>허용 도메인 추가 또는 파일 직접 첨부</v>
      </c>
      <c r="I5" s="18"/>
      <c r="J5" s="19" t="s">
        <v>41</v>
      </c>
    </row>
    <row r="6" customFormat="false" ht="15" hidden="false" customHeight="false" outlineLevel="0" collapsed="false">
      <c r="A6" s="14" t="n">
        <v>2</v>
      </c>
      <c r="B6" s="14" t="s">
        <v>37</v>
      </c>
      <c r="C6" s="15" t="s">
        <v>42</v>
      </c>
      <c r="D6" s="14"/>
      <c r="E6" s="14" t="s">
        <v>15</v>
      </c>
      <c r="F6" s="16" t="s">
        <v>43</v>
      </c>
      <c r="G6" s="17" t="s">
        <v>5</v>
      </c>
      <c r="H6" s="15" t="str">
        <f aca="false">IF(G6="차단 (확인함)","허용 도메인 추가 또는 파일 직접 첨부",IF(G6="접속 가능 (확인함)","바로 사용 가능",IF(G6="직접 내려받기 필요","직접 내려받아 첨부",IF(G6="사이트 자체 데이터","조치 불필요","필요 시 접속 확인"))))</f>
        <v>허용 도메인 추가 또는 파일 직접 첨부</v>
      </c>
      <c r="I6" s="18"/>
      <c r="J6" s="19" t="s">
        <v>41</v>
      </c>
    </row>
    <row r="7" customFormat="false" ht="15" hidden="false" customHeight="false" outlineLevel="0" collapsed="false">
      <c r="A7" s="14" t="n">
        <v>3</v>
      </c>
      <c r="B7" s="14" t="s">
        <v>37</v>
      </c>
      <c r="C7" s="15" t="s">
        <v>44</v>
      </c>
      <c r="D7" s="14"/>
      <c r="E7" s="14" t="s">
        <v>15</v>
      </c>
      <c r="F7" s="16" t="s">
        <v>45</v>
      </c>
      <c r="G7" s="17" t="s">
        <v>5</v>
      </c>
      <c r="H7" s="15" t="str">
        <f aca="false">IF(G7="차단 (확인함)","허용 도메인 추가 또는 파일 직접 첨부",IF(G7="접속 가능 (확인함)","바로 사용 가능",IF(G7="직접 내려받기 필요","직접 내려받아 첨부",IF(G7="사이트 자체 데이터","조치 불필요","필요 시 접속 확인"))))</f>
        <v>허용 도메인 추가 또는 파일 직접 첨부</v>
      </c>
      <c r="I7" s="18"/>
      <c r="J7" s="19" t="s">
        <v>41</v>
      </c>
    </row>
    <row r="8" customFormat="false" ht="15" hidden="false" customHeight="false" outlineLevel="0" collapsed="false">
      <c r="A8" s="14" t="n">
        <v>4</v>
      </c>
      <c r="B8" s="14" t="s">
        <v>37</v>
      </c>
      <c r="C8" s="15" t="s">
        <v>46</v>
      </c>
      <c r="D8" s="14"/>
      <c r="E8" s="14" t="s">
        <v>15</v>
      </c>
      <c r="F8" s="16" t="s">
        <v>47</v>
      </c>
      <c r="G8" s="17" t="s">
        <v>5</v>
      </c>
      <c r="H8" s="15" t="str">
        <f aca="false">IF(G8="차단 (확인함)","허용 도메인 추가 또는 파일 직접 첨부",IF(G8="접속 가능 (확인함)","바로 사용 가능",IF(G8="직접 내려받기 필요","직접 내려받아 첨부",IF(G8="사이트 자체 데이터","조치 불필요","필요 시 접속 확인"))))</f>
        <v>허용 도메인 추가 또는 파일 직접 첨부</v>
      </c>
      <c r="I8" s="18"/>
      <c r="J8" s="19" t="s">
        <v>41</v>
      </c>
    </row>
    <row r="9" customFormat="false" ht="15" hidden="false" customHeight="false" outlineLevel="0" collapsed="false">
      <c r="A9" s="14" t="n">
        <v>5</v>
      </c>
      <c r="B9" s="14" t="s">
        <v>37</v>
      </c>
      <c r="C9" s="15" t="s">
        <v>48</v>
      </c>
      <c r="D9" s="14"/>
      <c r="E9" s="14" t="s">
        <v>15</v>
      </c>
      <c r="F9" s="16" t="s">
        <v>49</v>
      </c>
      <c r="G9" s="17" t="s">
        <v>5</v>
      </c>
      <c r="H9" s="15" t="str">
        <f aca="false">IF(G9="차단 (확인함)","허용 도메인 추가 또는 파일 직접 첨부",IF(G9="접속 가능 (확인함)","바로 사용 가능",IF(G9="직접 내려받기 필요","직접 내려받아 첨부",IF(G9="사이트 자체 데이터","조치 불필요","필요 시 접속 확인"))))</f>
        <v>허용 도메인 추가 또는 파일 직접 첨부</v>
      </c>
      <c r="I9" s="18"/>
      <c r="J9" s="19" t="s">
        <v>41</v>
      </c>
    </row>
    <row r="10" customFormat="false" ht="15" hidden="false" customHeight="false" outlineLevel="0" collapsed="false">
      <c r="A10" s="14" t="n">
        <v>6</v>
      </c>
      <c r="B10" s="14" t="s">
        <v>37</v>
      </c>
      <c r="C10" s="15" t="s">
        <v>50</v>
      </c>
      <c r="D10" s="14"/>
      <c r="E10" s="14" t="s">
        <v>15</v>
      </c>
      <c r="F10" s="16" t="s">
        <v>51</v>
      </c>
      <c r="G10" s="17" t="s">
        <v>5</v>
      </c>
      <c r="H10" s="15" t="str">
        <f aca="false">IF(G10="차단 (확인함)","허용 도메인 추가 또는 파일 직접 첨부",IF(G10="접속 가능 (확인함)","바로 사용 가능",IF(G10="직접 내려받기 필요","직접 내려받아 첨부",IF(G10="사이트 자체 데이터","조치 불필요","필요 시 접속 확인"))))</f>
        <v>허용 도메인 추가 또는 파일 직접 첨부</v>
      </c>
      <c r="I10" s="18"/>
      <c r="J10" s="19" t="s">
        <v>41</v>
      </c>
    </row>
    <row r="11" customFormat="false" ht="15" hidden="false" customHeight="false" outlineLevel="0" collapsed="false">
      <c r="A11" s="14" t="n">
        <v>7</v>
      </c>
      <c r="B11" s="14" t="s">
        <v>37</v>
      </c>
      <c r="C11" s="15" t="s">
        <v>52</v>
      </c>
      <c r="D11" s="14"/>
      <c r="E11" s="14" t="s">
        <v>53</v>
      </c>
      <c r="F11" s="16" t="s">
        <v>54</v>
      </c>
      <c r="G11" s="17" t="s">
        <v>6</v>
      </c>
      <c r="H11" s="15" t="str">
        <f aca="false">IF(G11="차단 (확인함)","허용 도메인 추가 또는 파일 직접 첨부",IF(G11="접속 가능 (확인함)","바로 사용 가능",IF(G11="직접 내려받기 필요","직접 내려받아 첨부",IF(G11="사이트 자체 데이터","조치 불필요","필요 시 접속 확인"))))</f>
        <v>바로 사용 가능</v>
      </c>
      <c r="I11" s="18"/>
      <c r="J11" s="20" t="s">
        <v>55</v>
      </c>
    </row>
    <row r="12" customFormat="false" ht="15" hidden="false" customHeight="false" outlineLevel="0" collapsed="false">
      <c r="A12" s="14" t="n">
        <v>8</v>
      </c>
      <c r="B12" s="14" t="s">
        <v>56</v>
      </c>
      <c r="C12" s="15" t="s">
        <v>57</v>
      </c>
      <c r="D12" s="14"/>
      <c r="E12" s="14" t="s">
        <v>58</v>
      </c>
      <c r="F12" s="16" t="s">
        <v>59</v>
      </c>
      <c r="G12" s="17" t="s">
        <v>9</v>
      </c>
      <c r="H12" s="15" t="str">
        <f aca="false">IF(G12="차단 (확인함)","허용 도메인 추가 또는 파일 직접 첨부",IF(G12="접속 가능 (확인함)","바로 사용 가능",IF(G12="직접 내려받기 필요","직접 내려받아 첨부",IF(G12="사이트 자체 데이터","조치 불필요","필요 시 접속 확인"))))</f>
        <v>조치 불필요</v>
      </c>
      <c r="I12" s="18"/>
      <c r="J12" s="19"/>
    </row>
    <row r="13" customFormat="false" ht="15" hidden="false" customHeight="false" outlineLevel="0" collapsed="false">
      <c r="A13" s="14" t="n">
        <v>9</v>
      </c>
      <c r="B13" s="14" t="s">
        <v>60</v>
      </c>
      <c r="C13" s="15" t="s">
        <v>61</v>
      </c>
      <c r="D13" s="14" t="s">
        <v>62</v>
      </c>
      <c r="E13" s="14" t="s">
        <v>15</v>
      </c>
      <c r="F13" s="16" t="s">
        <v>63</v>
      </c>
      <c r="G13" s="17" t="s">
        <v>5</v>
      </c>
      <c r="H13" s="15" t="str">
        <f aca="false">IF(G13="차단 (확인함)","허용 도메인 추가 또는 파일 직접 첨부",IF(G13="접속 가능 (확인함)","바로 사용 가능",IF(G13="직접 내려받기 필요","직접 내려받아 첨부",IF(G13="사이트 자체 데이터","조치 불필요","필요 시 접속 확인"))))</f>
        <v>허용 도메인 추가 또는 파일 직접 첨부</v>
      </c>
      <c r="I13" s="18"/>
      <c r="J13" s="19" t="s">
        <v>41</v>
      </c>
    </row>
    <row r="14" customFormat="false" ht="15" hidden="false" customHeight="false" outlineLevel="0" collapsed="false">
      <c r="A14" s="14" t="n">
        <v>10</v>
      </c>
      <c r="B14" s="14" t="s">
        <v>60</v>
      </c>
      <c r="C14" s="15" t="s">
        <v>64</v>
      </c>
      <c r="D14" s="14"/>
      <c r="E14" s="14" t="s">
        <v>15</v>
      </c>
      <c r="F14" s="16" t="s">
        <v>65</v>
      </c>
      <c r="G14" s="17" t="s">
        <v>5</v>
      </c>
      <c r="H14" s="15" t="str">
        <f aca="false">IF(G14="차단 (확인함)","허용 도메인 추가 또는 파일 직접 첨부",IF(G14="접속 가능 (확인함)","바로 사용 가능",IF(G14="직접 내려받기 필요","직접 내려받아 첨부",IF(G14="사이트 자체 데이터","조치 불필요","필요 시 접속 확인"))))</f>
        <v>허용 도메인 추가 또는 파일 직접 첨부</v>
      </c>
      <c r="I14" s="18"/>
      <c r="J14" s="19" t="s">
        <v>41</v>
      </c>
    </row>
    <row r="15" customFormat="false" ht="15" hidden="false" customHeight="false" outlineLevel="0" collapsed="false">
      <c r="A15" s="14" t="n">
        <v>11</v>
      </c>
      <c r="B15" s="14" t="s">
        <v>66</v>
      </c>
      <c r="C15" s="15" t="s">
        <v>67</v>
      </c>
      <c r="D15" s="14" t="s">
        <v>68</v>
      </c>
      <c r="E15" s="14" t="s">
        <v>15</v>
      </c>
      <c r="F15" s="16" t="s">
        <v>69</v>
      </c>
      <c r="G15" s="17" t="s">
        <v>5</v>
      </c>
      <c r="H15" s="15" t="str">
        <f aca="false">IF(G15="차단 (확인함)","허용 도메인 추가 또는 파일 직접 첨부",IF(G15="접속 가능 (확인함)","바로 사용 가능",IF(G15="직접 내려받기 필요","직접 내려받아 첨부",IF(G15="사이트 자체 데이터","조치 불필요","필요 시 접속 확인"))))</f>
        <v>허용 도메인 추가 또는 파일 직접 첨부</v>
      </c>
      <c r="I15" s="18"/>
      <c r="J15" s="19" t="s">
        <v>41</v>
      </c>
    </row>
    <row r="16" customFormat="false" ht="15" hidden="false" customHeight="false" outlineLevel="0" collapsed="false">
      <c r="A16" s="14" t="n">
        <v>12</v>
      </c>
      <c r="B16" s="14" t="s">
        <v>70</v>
      </c>
      <c r="C16" s="15" t="s">
        <v>71</v>
      </c>
      <c r="D16" s="14" t="s">
        <v>72</v>
      </c>
      <c r="E16" s="14" t="s">
        <v>15</v>
      </c>
      <c r="F16" s="16" t="s">
        <v>73</v>
      </c>
      <c r="G16" s="17" t="s">
        <v>5</v>
      </c>
      <c r="H16" s="15" t="str">
        <f aca="false">IF(G16="차단 (확인함)","허용 도메인 추가 또는 파일 직접 첨부",IF(G16="접속 가능 (확인함)","바로 사용 가능",IF(G16="직접 내려받기 필요","직접 내려받아 첨부",IF(G16="사이트 자체 데이터","조치 불필요","필요 시 접속 확인"))))</f>
        <v>허용 도메인 추가 또는 파일 직접 첨부</v>
      </c>
      <c r="I16" s="18"/>
      <c r="J16" s="19" t="s">
        <v>41</v>
      </c>
    </row>
    <row r="17" customFormat="false" ht="15" hidden="false" customHeight="false" outlineLevel="0" collapsed="false">
      <c r="A17" s="14" t="n">
        <v>13</v>
      </c>
      <c r="B17" s="14" t="s">
        <v>70</v>
      </c>
      <c r="C17" s="15" t="s">
        <v>74</v>
      </c>
      <c r="D17" s="14"/>
      <c r="E17" s="14" t="s">
        <v>15</v>
      </c>
      <c r="F17" s="16" t="s">
        <v>75</v>
      </c>
      <c r="G17" s="17" t="s">
        <v>5</v>
      </c>
      <c r="H17" s="15" t="str">
        <f aca="false">IF(G17="차단 (확인함)","허용 도메인 추가 또는 파일 직접 첨부",IF(G17="접속 가능 (확인함)","바로 사용 가능",IF(G17="직접 내려받기 필요","직접 내려받아 첨부",IF(G17="사이트 자체 데이터","조치 불필요","필요 시 접속 확인"))))</f>
        <v>허용 도메인 추가 또는 파일 직접 첨부</v>
      </c>
      <c r="I17" s="18"/>
      <c r="J17" s="19" t="s">
        <v>41</v>
      </c>
    </row>
    <row r="18" customFormat="false" ht="15" hidden="false" customHeight="false" outlineLevel="0" collapsed="false">
      <c r="A18" s="14" t="n">
        <v>14</v>
      </c>
      <c r="B18" s="14" t="s">
        <v>70</v>
      </c>
      <c r="C18" s="15" t="s">
        <v>76</v>
      </c>
      <c r="D18" s="14"/>
      <c r="E18" s="14" t="s">
        <v>19</v>
      </c>
      <c r="F18" s="16" t="s">
        <v>77</v>
      </c>
      <c r="G18" s="17" t="s">
        <v>5</v>
      </c>
      <c r="H18" s="15" t="str">
        <f aca="false">IF(G18="차단 (확인함)","허용 도메인 추가 또는 파일 직접 첨부",IF(G18="접속 가능 (확인함)","바로 사용 가능",IF(G18="직접 내려받기 필요","직접 내려받아 첨부",IF(G18="사이트 자체 데이터","조치 불필요","필요 시 접속 확인"))))</f>
        <v>허용 도메인 추가 또는 파일 직접 첨부</v>
      </c>
      <c r="I18" s="18"/>
      <c r="J18" s="19"/>
    </row>
    <row r="19" customFormat="false" ht="15" hidden="false" customHeight="false" outlineLevel="0" collapsed="false">
      <c r="A19" s="14" t="n">
        <v>15</v>
      </c>
      <c r="B19" s="14" t="s">
        <v>70</v>
      </c>
      <c r="C19" s="15" t="s">
        <v>78</v>
      </c>
      <c r="D19" s="14"/>
      <c r="E19" s="14" t="s">
        <v>15</v>
      </c>
      <c r="F19" s="16" t="s">
        <v>79</v>
      </c>
      <c r="G19" s="17" t="s">
        <v>5</v>
      </c>
      <c r="H19" s="15" t="str">
        <f aca="false">IF(G19="차단 (확인함)","허용 도메인 추가 또는 파일 직접 첨부",IF(G19="접속 가능 (확인함)","바로 사용 가능",IF(G19="직접 내려받기 필요","직접 내려받아 첨부",IF(G19="사이트 자체 데이터","조치 불필요","필요 시 접속 확인"))))</f>
        <v>허용 도메인 추가 또는 파일 직접 첨부</v>
      </c>
      <c r="I19" s="18"/>
      <c r="J19" s="19" t="s">
        <v>41</v>
      </c>
    </row>
    <row r="20" customFormat="false" ht="15" hidden="false" customHeight="false" outlineLevel="0" collapsed="false">
      <c r="A20" s="14" t="n">
        <v>16</v>
      </c>
      <c r="B20" s="14" t="s">
        <v>80</v>
      </c>
      <c r="C20" s="15" t="s">
        <v>81</v>
      </c>
      <c r="D20" s="14" t="s">
        <v>82</v>
      </c>
      <c r="E20" s="14" t="s">
        <v>17</v>
      </c>
      <c r="F20" s="16" t="s">
        <v>83</v>
      </c>
      <c r="G20" s="17" t="s">
        <v>5</v>
      </c>
      <c r="H20" s="15" t="str">
        <f aca="false">IF(G20="차단 (확인함)","허용 도메인 추가 또는 파일 직접 첨부",IF(G20="접속 가능 (확인함)","바로 사용 가능",IF(G20="직접 내려받기 필요","직접 내려받아 첨부",IF(G20="사이트 자체 데이터","조치 불필요","필요 시 접속 확인"))))</f>
        <v>허용 도메인 추가 또는 파일 직접 첨부</v>
      </c>
      <c r="I20" s="18"/>
      <c r="J20" s="19"/>
    </row>
    <row r="21" customFormat="false" ht="15" hidden="false" customHeight="false" outlineLevel="0" collapsed="false">
      <c r="A21" s="14" t="n">
        <v>17</v>
      </c>
      <c r="B21" s="14" t="s">
        <v>84</v>
      </c>
      <c r="C21" s="15" t="s">
        <v>85</v>
      </c>
      <c r="D21" s="14" t="s">
        <v>86</v>
      </c>
      <c r="E21" s="14" t="s">
        <v>15</v>
      </c>
      <c r="F21" s="16" t="s">
        <v>87</v>
      </c>
      <c r="G21" s="17" t="s">
        <v>5</v>
      </c>
      <c r="H21" s="15" t="str">
        <f aca="false">IF(G21="차단 (확인함)","허용 도메인 추가 또는 파일 직접 첨부",IF(G21="접속 가능 (확인함)","바로 사용 가능",IF(G21="직접 내려받기 필요","직접 내려받아 첨부",IF(G21="사이트 자체 데이터","조치 불필요","필요 시 접속 확인"))))</f>
        <v>허용 도메인 추가 또는 파일 직접 첨부</v>
      </c>
      <c r="I21" s="18"/>
      <c r="J21" s="19" t="s">
        <v>41</v>
      </c>
    </row>
    <row r="22" customFormat="false" ht="15" hidden="false" customHeight="false" outlineLevel="0" collapsed="false">
      <c r="A22" s="14" t="n">
        <v>18</v>
      </c>
      <c r="B22" s="14" t="s">
        <v>84</v>
      </c>
      <c r="C22" s="15" t="s">
        <v>88</v>
      </c>
      <c r="D22" s="14"/>
      <c r="E22" s="14" t="s">
        <v>15</v>
      </c>
      <c r="F22" s="16" t="s">
        <v>89</v>
      </c>
      <c r="G22" s="17" t="s">
        <v>5</v>
      </c>
      <c r="H22" s="15" t="str">
        <f aca="false">IF(G22="차단 (확인함)","허용 도메인 추가 또는 파일 직접 첨부",IF(G22="접속 가능 (확인함)","바로 사용 가능",IF(G22="직접 내려받기 필요","직접 내려받아 첨부",IF(G22="사이트 자체 데이터","조치 불필요","필요 시 접속 확인"))))</f>
        <v>허용 도메인 추가 또는 파일 직접 첨부</v>
      </c>
      <c r="I22" s="18"/>
      <c r="J22" s="19" t="s">
        <v>41</v>
      </c>
    </row>
    <row r="23" customFormat="false" ht="15" hidden="false" customHeight="false" outlineLevel="0" collapsed="false">
      <c r="A23" s="14" t="n">
        <v>19</v>
      </c>
      <c r="B23" s="14" t="s">
        <v>84</v>
      </c>
      <c r="C23" s="15" t="s">
        <v>90</v>
      </c>
      <c r="D23" s="14"/>
      <c r="E23" s="14" t="s">
        <v>15</v>
      </c>
      <c r="F23" s="16" t="s">
        <v>91</v>
      </c>
      <c r="G23" s="17" t="s">
        <v>5</v>
      </c>
      <c r="H23" s="15" t="str">
        <f aca="false">IF(G23="차단 (확인함)","허용 도메인 추가 또는 파일 직접 첨부",IF(G23="접속 가능 (확인함)","바로 사용 가능",IF(G23="직접 내려받기 필요","직접 내려받아 첨부",IF(G23="사이트 자체 데이터","조치 불필요","필요 시 접속 확인"))))</f>
        <v>허용 도메인 추가 또는 파일 직접 첨부</v>
      </c>
      <c r="I23" s="18"/>
      <c r="J23" s="19" t="s">
        <v>41</v>
      </c>
    </row>
    <row r="24" customFormat="false" ht="15" hidden="false" customHeight="false" outlineLevel="0" collapsed="false">
      <c r="A24" s="14" t="n">
        <v>20</v>
      </c>
      <c r="B24" s="14" t="s">
        <v>84</v>
      </c>
      <c r="C24" s="15" t="s">
        <v>92</v>
      </c>
      <c r="D24" s="14"/>
      <c r="E24" s="14" t="s">
        <v>15</v>
      </c>
      <c r="F24" s="16" t="s">
        <v>93</v>
      </c>
      <c r="G24" s="17" t="s">
        <v>5</v>
      </c>
      <c r="H24" s="15" t="str">
        <f aca="false">IF(G24="차단 (확인함)","허용 도메인 추가 또는 파일 직접 첨부",IF(G24="접속 가능 (확인함)","바로 사용 가능",IF(G24="직접 내려받기 필요","직접 내려받아 첨부",IF(G24="사이트 자체 데이터","조치 불필요","필요 시 접속 확인"))))</f>
        <v>허용 도메인 추가 또는 파일 직접 첨부</v>
      </c>
      <c r="I24" s="18"/>
      <c r="J24" s="19" t="s">
        <v>41</v>
      </c>
    </row>
    <row r="25" customFormat="false" ht="15" hidden="false" customHeight="false" outlineLevel="0" collapsed="false">
      <c r="A25" s="14" t="n">
        <v>21</v>
      </c>
      <c r="B25" s="14" t="s">
        <v>94</v>
      </c>
      <c r="C25" s="15" t="s">
        <v>95</v>
      </c>
      <c r="D25" s="14" t="s">
        <v>96</v>
      </c>
      <c r="E25" s="14" t="s">
        <v>15</v>
      </c>
      <c r="F25" s="16" t="s">
        <v>47</v>
      </c>
      <c r="G25" s="17" t="s">
        <v>5</v>
      </c>
      <c r="H25" s="15" t="str">
        <f aca="false">IF(G25="차단 (확인함)","허용 도메인 추가 또는 파일 직접 첨부",IF(G25="접속 가능 (확인함)","바로 사용 가능",IF(G25="직접 내려받기 필요","직접 내려받아 첨부",IF(G25="사이트 자체 데이터","조치 불필요","필요 시 접속 확인"))))</f>
        <v>허용 도메인 추가 또는 파일 직접 첨부</v>
      </c>
      <c r="I25" s="18"/>
      <c r="J25" s="19" t="s">
        <v>41</v>
      </c>
    </row>
    <row r="26" customFormat="false" ht="29.85" hidden="false" customHeight="false" outlineLevel="0" collapsed="false">
      <c r="A26" s="14" t="n">
        <v>22</v>
      </c>
      <c r="B26" s="14" t="s">
        <v>94</v>
      </c>
      <c r="C26" s="21" t="s">
        <v>97</v>
      </c>
      <c r="D26" s="14"/>
      <c r="E26" s="14" t="s">
        <v>98</v>
      </c>
      <c r="F26" s="16" t="s">
        <v>99</v>
      </c>
      <c r="G26" s="17" t="s">
        <v>7</v>
      </c>
      <c r="H26" s="15" t="str">
        <f aca="false">IF(G26="차단 (확인함)","허용 도메인 추가 또는 파일 직접 첨부",IF(G26="접속 가능 (확인함)","바로 사용 가능",IF(G26="직접 내려받기 필요","직접 내려받아 첨부",IF(G26="사이트 자체 데이터","조치 불필요","필요 시 접속 확인"))))</f>
        <v>직접 내려받아 첨부</v>
      </c>
      <c r="I26" s="18"/>
      <c r="J26" s="20" t="s">
        <v>100</v>
      </c>
    </row>
    <row r="27" customFormat="false" ht="29.85" hidden="false" customHeight="false" outlineLevel="0" collapsed="false">
      <c r="A27" s="14" t="n">
        <v>23</v>
      </c>
      <c r="B27" s="14" t="s">
        <v>101</v>
      </c>
      <c r="C27" s="15" t="s">
        <v>102</v>
      </c>
      <c r="D27" s="14" t="s">
        <v>103</v>
      </c>
      <c r="E27" s="14" t="s">
        <v>17</v>
      </c>
      <c r="F27" s="16" t="s">
        <v>104</v>
      </c>
      <c r="G27" s="17" t="s">
        <v>5</v>
      </c>
      <c r="H27" s="15" t="str">
        <f aca="false">IF(G27="차단 (확인함)","허용 도메인 추가 또는 파일 직접 첨부",IF(G27="접속 가능 (확인함)","바로 사용 가능",IF(G27="직접 내려받기 필요","직접 내려받아 첨부",IF(G27="사이트 자체 데이터","조치 불필요","필요 시 접속 확인"))))</f>
        <v>허용 도메인 추가 또는 파일 직접 첨부</v>
      </c>
      <c r="I27" s="18"/>
      <c r="J27" s="19"/>
    </row>
    <row r="28" customFormat="false" ht="15" hidden="false" customHeight="false" outlineLevel="0" collapsed="false">
      <c r="A28" s="14" t="n">
        <v>24</v>
      </c>
      <c r="B28" s="14" t="s">
        <v>101</v>
      </c>
      <c r="C28" s="15" t="s">
        <v>105</v>
      </c>
      <c r="D28" s="14"/>
      <c r="E28" s="14" t="s">
        <v>15</v>
      </c>
      <c r="F28" s="16" t="s">
        <v>106</v>
      </c>
      <c r="G28" s="17" t="s">
        <v>5</v>
      </c>
      <c r="H28" s="15" t="str">
        <f aca="false">IF(G28="차단 (확인함)","허용 도메인 추가 또는 파일 직접 첨부",IF(G28="접속 가능 (확인함)","바로 사용 가능",IF(G28="직접 내려받기 필요","직접 내려받아 첨부",IF(G28="사이트 자체 데이터","조치 불필요","필요 시 접속 확인"))))</f>
        <v>허용 도메인 추가 또는 파일 직접 첨부</v>
      </c>
      <c r="I28" s="18"/>
      <c r="J28" s="19" t="s">
        <v>41</v>
      </c>
    </row>
    <row r="29" customFormat="false" ht="15" hidden="false" customHeight="false" outlineLevel="0" collapsed="false">
      <c r="A29" s="14" t="n">
        <v>25</v>
      </c>
      <c r="B29" s="14" t="s">
        <v>107</v>
      </c>
      <c r="C29" s="15" t="s">
        <v>108</v>
      </c>
      <c r="D29" s="22" t="s">
        <v>109</v>
      </c>
      <c r="E29" s="14" t="s">
        <v>110</v>
      </c>
      <c r="F29" s="16" t="s">
        <v>111</v>
      </c>
      <c r="G29" s="17" t="s">
        <v>8</v>
      </c>
      <c r="H29" s="15" t="str">
        <f aca="false">IF(G29="차단 (확인함)","허용 도메인 추가 또는 파일 직접 첨부",IF(G29="접속 가능 (확인함)","바로 사용 가능",IF(G29="직접 내려받기 필요","직접 내려받아 첨부",IF(G29="사이트 자체 데이터","조치 불필요","필요 시 접속 확인"))))</f>
        <v>필요 시 접속 확인</v>
      </c>
      <c r="I29" s="18"/>
      <c r="J29" s="19"/>
    </row>
    <row r="30" customFormat="false" ht="15" hidden="false" customHeight="false" outlineLevel="0" collapsed="false">
      <c r="A30" s="22" t="n">
        <v>26</v>
      </c>
      <c r="B30" s="14" t="s">
        <v>107</v>
      </c>
      <c r="C30" s="15" t="s">
        <v>112</v>
      </c>
      <c r="D30" s="22" t="s">
        <v>113</v>
      </c>
      <c r="E30" s="14" t="s">
        <v>114</v>
      </c>
      <c r="F30" s="16" t="s">
        <v>115</v>
      </c>
      <c r="G30" s="17" t="s">
        <v>8</v>
      </c>
      <c r="H30" s="15" t="str">
        <f aca="false">IF(G30="차단 (확인함)","허용 도메인 추가 또는 파일 직접 첨부",IF(G30="접속 가능 (확인함)","바로 사용 가능",IF(G30="직접 내려받기 필요","직접 내려받아 첨부",IF(G30="사이트 자체 데이터","조치 불필요","필요 시 접속 확인"))))</f>
        <v>필요 시 접속 확인</v>
      </c>
      <c r="I30" s="18"/>
      <c r="J30" s="19"/>
    </row>
    <row r="31" customFormat="false" ht="15" hidden="false" customHeight="false" outlineLevel="0" collapsed="false">
      <c r="A31" s="22" t="n">
        <v>27</v>
      </c>
      <c r="B31" s="22" t="s">
        <v>116</v>
      </c>
      <c r="C31" s="15" t="s">
        <v>117</v>
      </c>
      <c r="D31" s="22"/>
      <c r="E31" s="14" t="s">
        <v>118</v>
      </c>
      <c r="F31" s="16" t="s">
        <v>119</v>
      </c>
      <c r="G31" s="17" t="s">
        <v>8</v>
      </c>
      <c r="H31" s="15" t="str">
        <f aca="false">IF(G31="차단 (확인함)","허용 도메인 추가 또는 파일 직접 첨부",IF(G31="접속 가능 (확인함)","바로 사용 가능",IF(G31="직접 내려받기 필요","직접 내려받아 첨부",IF(G31="사이트 자체 데이터","조치 불필요","필요 시 접속 확인"))))</f>
        <v>필요 시 접속 확인</v>
      </c>
      <c r="I31" s="18"/>
      <c r="J31" s="19"/>
    </row>
    <row r="32" customFormat="false" ht="15" hidden="false" customHeight="false" outlineLevel="0" collapsed="false">
      <c r="A32" s="22" t="n">
        <v>28</v>
      </c>
      <c r="B32" s="22" t="s">
        <v>116</v>
      </c>
      <c r="C32" s="15" t="s">
        <v>120</v>
      </c>
      <c r="D32" s="22"/>
      <c r="E32" s="14" t="s">
        <v>118</v>
      </c>
      <c r="F32" s="16" t="s">
        <v>121</v>
      </c>
      <c r="G32" s="17" t="s">
        <v>8</v>
      </c>
      <c r="H32" s="15" t="str">
        <f aca="false">IF(G32="차단 (확인함)","허용 도메인 추가 또는 파일 직접 첨부",IF(G32="접속 가능 (확인함)","바로 사용 가능",IF(G32="직접 내려받기 필요","직접 내려받아 첨부",IF(G32="사이트 자체 데이터","조치 불필요","필요 시 접속 확인"))))</f>
        <v>필요 시 접속 확인</v>
      </c>
      <c r="I32" s="18"/>
      <c r="J32" s="19"/>
    </row>
    <row r="33" customFormat="false" ht="15" hidden="false" customHeight="false" outlineLevel="0" collapsed="false">
      <c r="A33" s="22" t="n">
        <v>29</v>
      </c>
      <c r="B33" s="22" t="s">
        <v>116</v>
      </c>
      <c r="C33" s="15" t="s">
        <v>122</v>
      </c>
      <c r="D33" s="22"/>
      <c r="E33" s="14" t="s">
        <v>118</v>
      </c>
      <c r="F33" s="16" t="s">
        <v>123</v>
      </c>
      <c r="G33" s="17" t="s">
        <v>8</v>
      </c>
      <c r="H33" s="15" t="str">
        <f aca="false">IF(G33="차단 (확인함)","허용 도메인 추가 또는 파일 직접 첨부",IF(G33="접속 가능 (확인함)","바로 사용 가능",IF(G33="직접 내려받기 필요","직접 내려받아 첨부",IF(G33="사이트 자체 데이터","조치 불필요","필요 시 접속 확인"))))</f>
        <v>필요 시 접속 확인</v>
      </c>
      <c r="I33" s="18"/>
      <c r="J33" s="19"/>
    </row>
  </sheetData>
  <autoFilter ref="A4:J33"/>
  <conditionalFormatting sqref="G5:G33">
    <cfRule type="cellIs" priority="2" operator="equal" aboveAverage="0" equalAverage="0" bottom="0" percent="0" rank="0" text="" dxfId="7">
      <formula>"차단 (확인함)"</formula>
    </cfRule>
    <cfRule type="cellIs" priority="3" operator="equal" aboveAverage="0" equalAverage="0" bottom="0" percent="0" rank="0" text="" dxfId="8">
      <formula>"접속 가능 (확인함)"</formula>
    </cfRule>
  </conditionalFormatting>
  <dataValidations count="1">
    <dataValidation allowBlank="true" errorStyle="stop" operator="between" showDropDown="false" showErrorMessage="false" showInputMessage="false" sqref="G5:G33" type="list">
      <formula1>"차단 (확인함),접속 가능 (확인함),미확인,직접 내려받기 필요,사이트 자체 데이터"</formula1>
      <formula2>0</formula2>
    </dataValidation>
  </dataValidations>
  <hyperlinks>
    <hyperlink ref="F5" r:id="rId1" display="https://www.data.go.kr/data/15083033/fileData.do"/>
    <hyperlink ref="F6" r:id="rId2" display="https://www.data.go.kr/data/15006336/fileData.do"/>
    <hyperlink ref="F7" r:id="rId3" display="https://www.data.go.kr/data/15092713/fileData.do"/>
    <hyperlink ref="F8" r:id="rId4" display="https://www.data.go.kr/data/3072264/fileData.do"/>
    <hyperlink ref="F9" r:id="rId5" display="https://www.data.go.kr/data/15084548/fileData.do"/>
    <hyperlink ref="F10" r:id="rId6" display="https://www.data.go.kr/data/15127422/fileData.do"/>
    <hyperlink ref="F11" r:id="rId7" display="https://github.com/southkorea/southkorea-maps"/>
    <hyperlink ref="F12" r:id="rId8" display="https://claude.ai/artifact/EuWwhZDcaRry4qtTjFgXmV"/>
    <hyperlink ref="F13" r:id="rId9" display="https://www.data.go.kr/data/15126761/fileData.do"/>
    <hyperlink ref="F14" r:id="rId10" display="https://www.data.go.kr/data/3045247/fileData.do"/>
    <hyperlink ref="F15" r:id="rId11" display="https://www.data.go.kr/data/15132695/fileData.do"/>
    <hyperlink ref="F16" r:id="rId12" display="https://www.data.go.kr/data/3069692/fileData.do"/>
    <hyperlink ref="F17" r:id="rId13" display="https://www.data.go.kr/data/15052654/fileData.do"/>
    <hyperlink ref="F18" r:id="rId14" display="https://data.daegu.go.kr/open/data/dataView.do?dataSetId=15054680&amp;dataSetDetailId=150546801a5c23ee02440&amp;provdMethod=FILE"/>
    <hyperlink ref="F19" r:id="rId15" display="https://www.data.go.kr/data/15144887/fileData.do"/>
    <hyperlink ref="F20" r:id="rId16" display="https://www.daegufood.go.kr/kor/"/>
    <hyperlink ref="F21" r:id="rId17" display="https://www.data.go.kr/data/15052602/fileData.do"/>
    <hyperlink ref="F22" r:id="rId18" display="https://www.data.go.kr/data/15122879/fileData.do"/>
    <hyperlink ref="F23" r:id="rId19" display="https://www.data.go.kr/data/15122876/fileData.do"/>
    <hyperlink ref="F24" r:id="rId20" display="https://www.data.go.kr/data/3069689/fileData.do"/>
    <hyperlink ref="F25" r:id="rId21" display="https://www.data.go.kr/data/3072264/fileData.do"/>
    <hyperlink ref="F26" r:id="rId22" display="https://file.localdata.go.kr/file/general_restaurants/info"/>
    <hyperlink ref="F27" r:id="rId23" display="https://www.daegufood.go.kr/kor/sub/food_clean.asp?snm=108"/>
    <hyperlink ref="F28" r:id="rId24" display="https://www.data.go.kr/data/15060883/openapi.do"/>
    <hyperlink ref="F29" r:id="rId25" display="https://www.bluer.co.kr"/>
    <hyperlink ref="F30" r:id="rId26" display="https://guide.michelin.com/kr/ko"/>
    <hyperlink ref="F31" r:id="rId27" display="https://commons.wikimedia.org/wiki/File:Gugil_Ttaro_gukbap.jpg"/>
    <hyperlink ref="F32" r:id="rId28" display="https://commons.wikimedia.org/wiki/File:Napjak_mandu_at_Miseongdang_Napjak_Mandu.jpg"/>
    <hyperlink ref="F33" r:id="rId29" display="https://commons.wikimedia.org/wiki/File:Blue_Moon_Restaurant_Taegu_Korea_-_panoramio.jp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2026-10-29T08:03:42Z</dcterms:created>
  <dc:creator>openpyxl</dc:creator>
  <dc:description/>
  <dc:language>en-US</dc:language>
  <cp:lastModifiedBy/>
  <dcterms:modified xsi:type="dcterms:W3CDTF">2026-10-29T08:03:42Z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